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Ingredients" sheetId="2" state="visible" r:id="rId4"/>
    <sheet name="Unit convers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<sst xmlns="http://schemas.openxmlformats.org/spreadsheetml/2006/main" count="519" uniqueCount="292">
  <si>
    <t xml:space="preserve">Ingredient database: nutrition + Provigo prices</t>
  </si>
  <si>
    <t xml:space="preserve">Used by the Streamlit app / recipe_aggregator.py. Prices are in Canadian dollars (CAD). Built 4 Oct 2026.</t>
  </si>
  <si>
    <t xml:space="preserve">WHAT TO EDIT</t>
  </si>
  <si>
    <t xml:space="preserve">Blue cells on the 'Ingredients' sheet are inputs: calories, protein, pack size, pack unit, pack price, status, source. Black cells are formulas - do not type over them.</t>
  </si>
  <si>
    <t xml:space="preserve">To change a price: edit 'Pack price (CAD)' (and 'Pack size' if the pack changed). Cost per 100 g and unit price update by themselves.</t>
  </si>
  <si>
    <t xml:space="preserve">To add an ingredient: add a row at the bottom of 'Ingredients' and copy the formulas in columns J-M from the row above. Put every spelling used in your recipes in 'Names used in recipes' (comma-separated).</t>
  </si>
  <si>
    <t xml:space="preserve">If a recipe uses a unit other than g / ml / kg / l for an ingredient (tablespoons, pieces, strips...), add a row to 'Unit conversions' with the grams per unit.</t>
  </si>
  <si>
    <t xml:space="preserve">HOW 'PACK' WORKS</t>
  </si>
  <si>
    <t xml:space="preserve">The pack is what you can typically buy in store (e.g. 1 kg of rice, 12 eggs). 'Cost per 100 g' = pack price / pack weight x 100. For items sold by count (eggs, bacon strips, avocados) the 'Unit price' column shows the price per unit instead.</t>
  </si>
  <si>
    <t xml:space="preserve">Items sold by weight (loose tomatoes, green beans) are priced in 100 g steps so the 'cost to buy' is not rounded up to a whole kilogram.</t>
  </si>
  <si>
    <t xml:space="preserve">PRICE STATUS</t>
  </si>
  <si>
    <t xml:space="preserve">Provigo listing: the price was shown on a provigo.ca page when I looked it up (regular price, not the sale price).</t>
  </si>
  <si>
    <t xml:space="preserve">Provigo unit price (derived): the page showed a price per 100 g / 100 ml; the pack price is that number x the pack size.</t>
  </si>
  <si>
    <t xml:space="preserve">Your recipe sheet: the price came from the cost column in your own recipe file.</t>
  </si>
  <si>
    <t xml:space="preserve">ESTIMATE - verify: no usable Provigo price was found. Treat as a placeholder and replace it. These cells are highlighted yellow.</t>
  </si>
  <si>
    <t xml:space="preserve">Not priced yet: the ingredient has nutrition data but is not in your current recipes, so it was not priced.</t>
  </si>
  <si>
    <t xml:space="preserve">IMPORTANT CAVEATS</t>
  </si>
  <si>
    <t xml:space="preserve">I could not select the Avenue du Parc store. The prices come from provigo.ca pages found through search; the pages do not show which store or date they belong to, and Provigo prices change weekly with flyers. Please spot-check against your store.</t>
  </si>
  <si>
    <t xml:space="preserve">Calories and protein for ingredients that were already in your nutrition_db.xlsx are your original values (unchanged). New ingredients use typical USDA FoodData Central values per 100 g, or approximate label values where marked.</t>
  </si>
  <si>
    <t xml:space="preserve">Ingredient database: nutrition (per 100 g) and Provigo prices (CAD)</t>
  </si>
  <si>
    <t xml:space="preserve">Blue = inputs you can edit; black = formulas. Yellow price = estimate, replace it. See the README sheet for details.</t>
  </si>
  <si>
    <t xml:space="preserve">Ingredient</t>
  </si>
  <si>
    <t xml:space="preserve">Names used in recipes</t>
  </si>
  <si>
    <t xml:space="preserve">Kcal per 100 g</t>
  </si>
  <si>
    <t xml:space="preserve">Protein per 100 g (g)</t>
  </si>
  <si>
    <t xml:space="preserve">Nutrition source</t>
  </si>
  <si>
    <t xml:space="preserve">Product priced</t>
  </si>
  <si>
    <t xml:space="preserve">Pack size</t>
  </si>
  <si>
    <t xml:space="preserve">Pack unit</t>
  </si>
  <si>
    <t xml:space="preserve">Pack price (CAD)</t>
  </si>
  <si>
    <t xml:space="preserve">Pack weight (g)</t>
  </si>
  <si>
    <t xml:space="preserve">Cost per 100 g (CAD)</t>
  </si>
  <si>
    <t xml:space="preserve">Unit price (CAD)</t>
  </si>
  <si>
    <t xml:space="preserve">Unit price per</t>
  </si>
  <si>
    <t xml:space="preserve">Price status</t>
  </si>
  <si>
    <t xml:space="preserve">Price source</t>
  </si>
  <si>
    <t xml:space="preserve">Notes</t>
  </si>
  <si>
    <t xml:space="preserve">All-purpose flour</t>
  </si>
  <si>
    <t xml:space="preserve">all purpose flour, flour</t>
  </si>
  <si>
    <t xml:space="preserve">USDA FoodData Central (typical value)</t>
  </si>
  <si>
    <t xml:space="preserve">No Name All-Purpose Flour 2.5 kg</t>
  </si>
  <si>
    <t xml:space="preserve">g</t>
  </si>
  <si>
    <t xml:space="preserve">Provigo unit price (derived)</t>
  </si>
  <si>
    <t xml:space="preserve">https://www.provigo.ca/en/food/pantry/baking-essentials/flours/c/29695</t>
  </si>
  <si>
    <t xml:space="preserve">Provigo shows $0.18/100 g (= $4.50 for 2.5 kg). Robin Hood 2.5 kg is about $0.20-0.30/100 g.</t>
  </si>
  <si>
    <t xml:space="preserve">Avocado</t>
  </si>
  <si>
    <t xml:space="preserve">Your nutrition_db.xlsx</t>
  </si>
  <si>
    <t xml:space="preserve">Avocado, single</t>
  </si>
  <si>
    <t xml:space="preserve">piece</t>
  </si>
  <si>
    <t xml:space="preserve">Provigo listing</t>
  </si>
  <si>
    <t xml:space="preserve">https://www.provigo.ca/en/food/fruits-vegetables/fresh-fruits/avocado-tropical-fruits/c/29723</t>
  </si>
  <si>
    <t xml:space="preserve">1 piece = 100 g (your note). A bag of 3-4 is cheaper per avocado.</t>
  </si>
  <si>
    <t xml:space="preserve">Bacon</t>
  </si>
  <si>
    <t xml:space="preserve">USDA FoodData Central (typical value) - cooked</t>
  </si>
  <si>
    <t xml:space="preserve">No Name Mild Sugar Cured Bacon 375 g</t>
  </si>
  <si>
    <t xml:space="preserve">strip</t>
  </si>
  <si>
    <t xml:space="preserve">https://www.provigo.ca/en/food/meat/bacon/c/59252</t>
  </si>
  <si>
    <t xml:space="preserve">Regular price $6.50 ($6.00 on sale when buying 2). ~31 slices per 375 g pack is an assumption. Nutrition is per 100 g COOKED; 1 strip = 8 g cooked.</t>
  </si>
  <si>
    <t xml:space="preserve">Baking powder</t>
  </si>
  <si>
    <t xml:space="preserve">No Name Baking Powder 450 g</t>
  </si>
  <si>
    <t xml:space="preserve">https://www.provigo.ca/en/food/pantry/baking-essentials/baking-soda-powder-yeast/c/29696</t>
  </si>
  <si>
    <t xml:space="preserve">Provigo shows $1.44/100 g. Magic 225 g is about $2.44/100 g.</t>
  </si>
  <si>
    <t xml:space="preserve">Beef</t>
  </si>
  <si>
    <t xml:space="preserve">Lean ground beef, 900 g</t>
  </si>
  <si>
    <t xml:space="preserve">Your recipe sheet</t>
  </si>
  <si>
    <t xml:space="preserve">Your recipe sheet (beef_taco_potato_bowl.xlsx)</t>
  </si>
  <si>
    <t xml:space="preserve">Provigo lean ground beef listings run about $2.00-2.42/100 g, so $2.17/100 g is consistent.</t>
  </si>
  <si>
    <t xml:space="preserve">Beef broth</t>
  </si>
  <si>
    <t xml:space="preserve">Approximate (typical product label)</t>
  </si>
  <si>
    <t xml:space="preserve">Beef bouillon cubes, box of 6</t>
  </si>
  <si>
    <t xml:space="preserve">Your recipe sheet (beef_taco_potato_bowl.xlsx: =6.56/6 per piece)</t>
  </si>
  <si>
    <t xml:space="preserve">1 piece = 1 cube, ~10 g (assumption). Nutrition is a rough value for dry bouillon.</t>
  </si>
  <si>
    <t xml:space="preserve">Blueberries</t>
  </si>
  <si>
    <t xml:space="preserve">Blueberries, half pint 170 g</t>
  </si>
  <si>
    <t xml:space="preserve">https://www.provigo.ca/en/food/fruits-vegetables/fresh-fruits/berries-cherries/blueberries/c/34467</t>
  </si>
  <si>
    <t xml:space="preserve">Fresh, out of season. Frozen No Name blueberries (300 g) were listed at $3.00 ($1.00/100 g) if frozen is fine.</t>
  </si>
  <si>
    <t xml:space="preserve">Butter</t>
  </si>
  <si>
    <t xml:space="preserve">Lactantia Unsalted Butter 454 g</t>
  </si>
  <si>
    <t xml:space="preserve">https://www.provigo.ca/en/food/natural-and-organic/dairy-and-eggs/butter-and-margarine/c/59392</t>
  </si>
  <si>
    <t xml:space="preserve">Not used in your current recipes.</t>
  </si>
  <si>
    <t xml:space="preserve">Cheddar</t>
  </si>
  <si>
    <t xml:space="preserve">P'tit Quebec Old Cheddar 400 g</t>
  </si>
  <si>
    <t xml:space="preserve">https://www.provigo.ca/en/food/deli/deli-cheese/parmesan-hard-cheese/c/29742</t>
  </si>
  <si>
    <t xml:space="preserve">No Name Old Cheddar 400 g is cheaper (~$1.62/100 g).</t>
  </si>
  <si>
    <t xml:space="preserve">Cherry tomatoes</t>
  </si>
  <si>
    <t xml:space="preserve">grape tomatoes</t>
  </si>
  <si>
    <t xml:space="preserve">Farmer's Market Grape Tomatoes 283 g</t>
  </si>
  <si>
    <t xml:space="preserve">https://www.provigo.ca/en/food/fruits-vegetables/fresh-vegetables/tomatoes-peppers/tomatoes/c/34502</t>
  </si>
  <si>
    <t xml:space="preserve">Another Provigo listing showed $1.77/100 g (about $5.00).</t>
  </si>
  <si>
    <t xml:space="preserve">Chicken</t>
  </si>
  <si>
    <t xml:space="preserve">Chicken breast, boneless skinless, club pack (~1.18 kg)</t>
  </si>
  <si>
    <t xml:space="preserve">https://www.provigo.ca/en/food/prepared-meals/rotisserie-fried-chicken/rotisserie-chicken/c/29636</t>
  </si>
  <si>
    <t xml:space="preserve">Sold by weight at $19.82/kg ($8.99/lb); $23.33 is Provigo's estimate for a ~1.18 kg tray. Your nutrition values look like RAW breast (cooked is ~165 kcal / 31 g protein per 100 g); check which weight your recipes use.</t>
  </si>
  <si>
    <t xml:space="preserve">Chocolate chips</t>
  </si>
  <si>
    <t xml:space="preserve">PC The Decadent Semi-Sweet Chocolate Chips 300 g</t>
  </si>
  <si>
    <t xml:space="preserve">https://www.provigo.ca/en/food/pantry/baking-essentials/chocolate-cocoa/c/29877</t>
  </si>
  <si>
    <t xml:space="preserve">Provigo shows $1.67/100 g.</t>
  </si>
  <si>
    <t xml:space="preserve">Cornstarch</t>
  </si>
  <si>
    <t xml:space="preserve">corn starch</t>
  </si>
  <si>
    <t xml:space="preserve">No Name 100% Pure Corn Starch 454 g</t>
  </si>
  <si>
    <t xml:space="preserve">Courgette</t>
  </si>
  <si>
    <t xml:space="preserve">zucchini</t>
  </si>
  <si>
    <t xml:space="preserve">Not priced yet</t>
  </si>
  <si>
    <t xml:space="preserve">Not used in your current recipes. 1 piece = 400 g (your note).</t>
  </si>
  <si>
    <t xml:space="preserve">Creme liquide</t>
  </si>
  <si>
    <t xml:space="preserve">creme liquide, crème liquide</t>
  </si>
  <si>
    <t xml:space="preserve">Crepes</t>
  </si>
  <si>
    <t xml:space="preserve">Not used in your current recipes. One crepe is 50 g (your note).</t>
  </si>
  <si>
    <t xml:space="preserve">Dark chocolate</t>
  </si>
  <si>
    <t xml:space="preserve">No Name Baking Chocolate, Semi-Sweet 200 g</t>
  </si>
  <si>
    <t xml:space="preserve">Semi-sweet baking chocolate used as a stand-in ($2.00/100 g). Replace with your actual dark chocolate bar's price.</t>
  </si>
  <si>
    <t xml:space="preserve">Egg</t>
  </si>
  <si>
    <t xml:space="preserve">eggs</t>
  </si>
  <si>
    <t xml:space="preserve">No Name Large Size Eggs, 12 pack</t>
  </si>
  <si>
    <t xml:space="preserve">unit</t>
  </si>
  <si>
    <t xml:space="preserve">https://www.provigo.ca/en/food/dairy-eggs/egg-egg-substitutes/whole-eggs/c/29781</t>
  </si>
  <si>
    <t xml:space="preserve">1 egg = 50 g (your note).</t>
  </si>
  <si>
    <t xml:space="preserve">Emmental</t>
  </si>
  <si>
    <t xml:space="preserve">Garlic</t>
  </si>
  <si>
    <t xml:space="preserve">Rooster Garlic Bulbs, 3-count (90 g)</t>
  </si>
  <si>
    <t xml:space="preserve">https://www.provigo.ca/en/food/fruits-vegetables/fresh-vegetables/c/28195</t>
  </si>
  <si>
    <t xml:space="preserve">1 clove = 5 g (your note).</t>
  </si>
  <si>
    <t xml:space="preserve">Gnocchi</t>
  </si>
  <si>
    <t xml:space="preserve">PC Splendido Gnocchi 500 g</t>
  </si>
  <si>
    <t xml:space="preserve">https://www.provigo.ca/en/food/pantry/pasta-pasta-sauce/dry-pasta/c/29680</t>
  </si>
  <si>
    <t xml:space="preserve">Provigo shows $0.66/100 g. Not used in your current recipes.</t>
  </si>
  <si>
    <t xml:space="preserve">Greek yogurt</t>
  </si>
  <si>
    <t xml:space="preserve">plain greek yogurt</t>
  </si>
  <si>
    <t xml:space="preserve">USDA FoodData Central (typical value) - plain nonfat</t>
  </si>
  <si>
    <t xml:space="preserve">PC Plain Greek Yogurt 0% 750 g</t>
  </si>
  <si>
    <t xml:space="preserve">https://www.provigo.ca/en/food/dairy-eggs/yogurt/c/28227?page=1</t>
  </si>
  <si>
    <t xml:space="preserve">Provigo shows $0.73/100 g. Nutrition assumes 0% M.F.; a 2% yogurt has more calories.</t>
  </si>
  <si>
    <t xml:space="preserve">Green beans</t>
  </si>
  <si>
    <t xml:space="preserve">Green beans, loose (sold by weight)</t>
  </si>
  <si>
    <t xml:space="preserve">https://www.provigo.ca/en/food/fruits-vegetables/fresh-vegetables/peas-beans-corn/c/29597</t>
  </si>
  <si>
    <t xml:space="preserve">$0.88/100 g ($3.99/lb). Sold by weight, so any amount can be bought (priced in 100 g steps here).</t>
  </si>
  <si>
    <t xml:space="preserve">Ham</t>
  </si>
  <si>
    <t xml:space="preserve">Not used in your current recipes. One slice is 45 g (your note).</t>
  </si>
  <si>
    <t xml:space="preserve">Honey</t>
  </si>
  <si>
    <t xml:space="preserve">Billy Bee Pure Natural White Honey 500 g</t>
  </si>
  <si>
    <t xml:space="preserve">https://www.provigo.ca/en/food/pantry/honey-syrups-spreads/jams-sweet-spreads/c/29677?page=2</t>
  </si>
  <si>
    <t xml:space="preserve">Regular price; listed at $8.00 on sale.</t>
  </si>
  <si>
    <t xml:space="preserve">Jalapeño</t>
  </si>
  <si>
    <t xml:space="preserve">jalapeno</t>
  </si>
  <si>
    <t xml:space="preserve">Jalapeño pepper, each</t>
  </si>
  <si>
    <t xml:space="preserve">1 piece ~ 25 g (assumption; nutrition is negligible).</t>
  </si>
  <si>
    <t xml:space="preserve">Ketchup</t>
  </si>
  <si>
    <t xml:space="preserve">Heinz Tomato Ketchup 750 ml</t>
  </si>
  <si>
    <t xml:space="preserve">ml</t>
  </si>
  <si>
    <t xml:space="preserve">https://www.provigo.ca/en/food/pantry/condiments-sauces/ketchup/c/29690</t>
  </si>
  <si>
    <t xml:space="preserve">Provigo shows $0.80/100 ml.</t>
  </si>
  <si>
    <t xml:space="preserve">Mayo</t>
  </si>
  <si>
    <t xml:space="preserve">mayonnaise</t>
  </si>
  <si>
    <t xml:space="preserve">PC Mayonnaise 890 ml</t>
  </si>
  <si>
    <t xml:space="preserve">https://www.provigo.ca/en/food/pantry/condiments-sauces/c/28243?page=2</t>
  </si>
  <si>
    <t xml:space="preserve">Hellmann's Real 890 ml is about $0.90/100 ml. Nutrition is for regular (full-fat) mayo.</t>
  </si>
  <si>
    <t xml:space="preserve">Mushroom</t>
  </si>
  <si>
    <t xml:space="preserve">mushrooms</t>
  </si>
  <si>
    <t xml:space="preserve">Noodles</t>
  </si>
  <si>
    <t xml:space="preserve">Not used in your current recipes. ~90 g dry per pack (your note).</t>
  </si>
  <si>
    <t xml:space="preserve">Onion</t>
  </si>
  <si>
    <t xml:space="preserve">onions</t>
  </si>
  <si>
    <t xml:space="preserve">Farmer's Market Yellow Onions, 3 lb bag (1.36 kg)</t>
  </si>
  <si>
    <t xml:space="preserve">Not used in your current recipes. 1 onion = 150 g (your note).</t>
  </si>
  <si>
    <t xml:space="preserve">Pasta</t>
  </si>
  <si>
    <t xml:space="preserve">No Name Spaghetti / Penne 900 g</t>
  </si>
  <si>
    <t xml:space="preserve">Dry weight.</t>
  </si>
  <si>
    <t xml:space="preserve">Peanut butter</t>
  </si>
  <si>
    <t xml:space="preserve">Kraft Smooth Peanut Butter 1 kg</t>
  </si>
  <si>
    <t xml:space="preserve">https://www.provigo.ca/en/food/snacks-chips-candy/c/57025</t>
  </si>
  <si>
    <t xml:space="preserve">Regular price; listed at $7.00 on sale.</t>
  </si>
  <si>
    <t xml:space="preserve">Black pepper</t>
  </si>
  <si>
    <t xml:space="preserve">black pepper, ground pepper</t>
  </si>
  <si>
    <t xml:space="preserve">Not used in your current recipes (negligible calories).</t>
  </si>
  <si>
    <t xml:space="preserve">Potatoes</t>
  </si>
  <si>
    <t xml:space="preserve">potato</t>
  </si>
  <si>
    <t xml:space="preserve">PC Yellow Mini Potatoes 680 g</t>
  </si>
  <si>
    <t xml:space="preserve">Your recipe sheet (beef_taco_potato_bowl.xlsx); Provigo shows $0.74/100 g</t>
  </si>
  <si>
    <t xml:space="preserve">A 10 lb (4.54 kg) bag of Farmer's Market potatoes is about $5.99 ($0.13/100 g) if you would rather buy in bulk.</t>
  </si>
  <si>
    <t xml:space="preserve">Protein powder</t>
  </si>
  <si>
    <t xml:space="preserve">Approximate (typical whey powder)</t>
  </si>
  <si>
    <t xml:space="preserve">Whey protein powder, ~908 g tub</t>
  </si>
  <si>
    <t xml:space="preserve">ESTIMATE - verify</t>
  </si>
  <si>
    <t xml:space="preserve">Not a Provigo price - no usable Provigo listing found</t>
  </si>
  <si>
    <t xml:space="preserve">Replace with your own tub's price and weight. 1 scoop = 30 g (~24 g protein).</t>
  </si>
  <si>
    <t xml:space="preserve">Rice</t>
  </si>
  <si>
    <t xml:space="preserve">No Name Long Grain White Rice 2 kg</t>
  </si>
  <si>
    <t xml:space="preserve">https://www.provigo.ca/en/food/pantry/rice/long-grain/c/29682</t>
  </si>
  <si>
    <t xml:space="preserve">Rice vinegar</t>
  </si>
  <si>
    <t xml:space="preserve">Approximate (seasoned rice vinegar)</t>
  </si>
  <si>
    <t xml:space="preserve">PC Seasoned Rice Vinegar 500 ml</t>
  </si>
  <si>
    <t xml:space="preserve">https://www.provigo.ca/en/food/pantry/oils-vinegar/specialty-vinegar/c/29912</t>
  </si>
  <si>
    <t xml:space="preserve">Provigo shows $1.00/100 ml. Seasoned (contains sugar).</t>
  </si>
  <si>
    <t xml:space="preserve">Rolled oats</t>
  </si>
  <si>
    <t xml:space="preserve">oats</t>
  </si>
  <si>
    <t xml:space="preserve">Quaker Large Flake Oats 1 kg</t>
  </si>
  <si>
    <t xml:space="preserve">https://www.provigo.ca/en/food/pantry/cereal-breakfast/c/28183?page=2</t>
  </si>
  <si>
    <t xml:space="preserve">Sesame oil</t>
  </si>
  <si>
    <t xml:space="preserve">Foreway Pure Sesame Oil 370 ml</t>
  </si>
  <si>
    <t xml:space="preserve">https://www.provigo.ca/en/food/pantry/oils-vinegar/vegetable-oils/c/29906</t>
  </si>
  <si>
    <t xml:space="preserve">Regular price; listed at $5.49 on sale.</t>
  </si>
  <si>
    <t xml:space="preserve">Sesame seeds</t>
  </si>
  <si>
    <t xml:space="preserve">No Name Sesame Seeds 150 g</t>
  </si>
  <si>
    <t xml:space="preserve">https://www.provigo.ca/en/food/pantry/spices-seasonings/c/28188</t>
  </si>
  <si>
    <t xml:space="preserve">This listing looked old (about 2 years); check the current price.</t>
  </si>
  <si>
    <t xml:space="preserve">Soy sauce</t>
  </si>
  <si>
    <t xml:space="preserve">No Name Light Soy Sauce 450 ml</t>
  </si>
  <si>
    <t xml:space="preserve">https://www.provigo.ca/en/collection/discover</t>
  </si>
  <si>
    <t xml:space="preserve">Your nutrition values (289 kcal, 3.4 g protein per 100 ml) look high: regular soy sauce is usually ~55-60 kcal and ~8 g protein per 100 ml. Worth checking.</t>
  </si>
  <si>
    <t xml:space="preserve">Sugar</t>
  </si>
  <si>
    <t xml:space="preserve">granulated sugar</t>
  </si>
  <si>
    <t xml:space="preserve">Lantic Granulated Sugar 2 kg</t>
  </si>
  <si>
    <t xml:space="preserve">https://www.provigo.ca/en/food/pantry/baking-essentials/sugar-sweetener/c/29878</t>
  </si>
  <si>
    <t xml:space="preserve">Taco seasoning</t>
  </si>
  <si>
    <t xml:space="preserve">Taco Bell Mild Taco Seasoning Mix 28 g</t>
  </si>
  <si>
    <t xml:space="preserve">pack</t>
  </si>
  <si>
    <t xml:space="preserve">https://www.provigo.ca/en/food/pantry/international-foods/mexican/seasonings/c/34584</t>
  </si>
  <si>
    <t xml:space="preserve">Regular price; listed at $1.66 on sale (buy 3). 1 pack = 28 g.</t>
  </si>
  <si>
    <t xml:space="preserve">Tomato</t>
  </si>
  <si>
    <t xml:space="preserve">tomatoes</t>
  </si>
  <si>
    <t xml:space="preserve">Tomato on the vine (sold by weight)</t>
  </si>
  <si>
    <t xml:space="preserve">$8.82/kg. Another Provigo listing showed $5.49/kg, so it swings with the season. Priced in 100 g steps. 1 piece = 150 g (assumption).</t>
  </si>
  <si>
    <t xml:space="preserve">Tuna</t>
  </si>
  <si>
    <t xml:space="preserve">No Name Chunk Light Tuna in Water 170 g</t>
  </si>
  <si>
    <t xml:space="preserve">https://www.provigo.ca/en/food/pantry/canned-pickled/canned-tuna/c/29698</t>
  </si>
  <si>
    <t xml:space="preserve">Provigo shows $1.11/100 g. Drained weight is less than 170 g (~120 g), so cost to buy per can is approximate.</t>
  </si>
  <si>
    <t xml:space="preserve">Vanilla extract</t>
  </si>
  <si>
    <t xml:space="preserve">Club House Pure Vanilla Extract 46 ml</t>
  </si>
  <si>
    <t xml:space="preserve">https://www.provigo.ca/en/food/pantry/baking-essentials/extracts/c/29879</t>
  </si>
  <si>
    <t xml:space="preserve">Provigo shows $23.89/100 ml. No Name artificial vanilla (125 ml) is much cheaper.</t>
  </si>
  <si>
    <t xml:space="preserve">Vegetable oil</t>
  </si>
  <si>
    <t xml:space="preserve">frying oil, canola oil</t>
  </si>
  <si>
    <t xml:space="preserve">No Name 100% Pure Vegetable Oil 3 L</t>
  </si>
  <si>
    <t xml:space="preserve">Also used for 'Frying oil' in your recipes.</t>
  </si>
  <si>
    <t xml:space="preserve">Bell pepper</t>
  </si>
  <si>
    <t xml:space="preserve">pepper, bell pepper, red pepper, sweet pepper</t>
  </si>
  <si>
    <t xml:space="preserve">USDA FoodData Central (typical value) - sweet red pepper</t>
  </si>
  <si>
    <t xml:space="preserve">Red Peppers, loose (sold by weight)</t>
  </si>
  <si>
    <t xml:space="preserve">https://www.provigo.ca/en/food/fruits-vegetables/fresh-vegetables/tomatoes-peppers/peppers/c/34501</t>
  </si>
  <si>
    <t xml:space="preserve">$4.00/lb ($8.82/kg) = $0.88/100 g. Your recipe says "Pepper"; it is added as Bell pepper because the existing "Pepper" row is black pepper (0 kcal). 1 piece = 150 g (assumption; Provigo implies ~$2.12 per pepper).</t>
  </si>
  <si>
    <t xml:space="preserve">Black beans</t>
  </si>
  <si>
    <t xml:space="preserve">black bean</t>
  </si>
  <si>
    <t xml:space="preserve">USDA FoodData Central (typical value) - canned</t>
  </si>
  <si>
    <t xml:space="preserve">No Name Black Beans 540 ml can</t>
  </si>
  <si>
    <t xml:space="preserve">https://www.provigo.ca/en/food/pantry/canned-pickled/canned-beans/c/29882</t>
  </si>
  <si>
    <t xml:space="preserve">Regular price. Nutrition is per 100 g canned beans; 1 cup = 172 g drained (USDA). Unico was $2.25 regular.</t>
  </si>
  <si>
    <t xml:space="preserve">Feta</t>
  </si>
  <si>
    <t xml:space="preserve">feta cheese</t>
  </si>
  <si>
    <t xml:space="preserve">Saputo Feta Cheese 400 g</t>
  </si>
  <si>
    <t xml:space="preserve">https://www.provigo.ca/en/food/deli/deli-cheese/feta-goat-blue-cheese/c/29739</t>
  </si>
  <si>
    <t xml:space="preserve">200 g tubs run $6.49-$7.99 (Krinos $6.49, Saputo/Tre Stelle $7.99); the 400 g is cheaper per 100 g.</t>
  </si>
  <si>
    <t xml:space="preserve">Red onion</t>
  </si>
  <si>
    <t xml:space="preserve">red onions</t>
  </si>
  <si>
    <t xml:space="preserve">Farmer's Market Red Onions, 3 lb bag (1.36 kg)</t>
  </si>
  <si>
    <t xml:space="preserve">https://www.provigo.ca/en/food/fruits-vegetables/fresh-vegetables/potatos-onions/onions/c/34509</t>
  </si>
  <si>
    <t xml:space="preserve">Loose red onion is $3.00/lb ($0.66/100 g). 1 piece = 150 g (assumption, same as Onion).</t>
  </si>
  <si>
    <t xml:space="preserve">Salsa</t>
  </si>
  <si>
    <t xml:space="preserve">PC Sweet Corn Medium Salsa 300 ml</t>
  </si>
  <si>
    <t xml:space="preserve">https://www.provigo.ca/en/food/pantry/international-foods/mexican/salsa/c/34580</t>
  </si>
  <si>
    <t xml:space="preserve">Regular price $4.79 (listed on sale at $3.00 when buying 2). 1 cup = 259 g (USDA).</t>
  </si>
  <si>
    <t xml:space="preserve">Grams per recipe unit (for 'ml' rows: grams per millilitre)</t>
  </si>
  <si>
    <t xml:space="preserve">Unit names must be singular: g, ml, piece, unit, strip, slice, pack, scoop, clove, teaspoon, tablespoon, cup. 'g', 'kg' and 'l' work without a row (ml uses 1 g/ml unless a row says otherwise).</t>
  </si>
  <si>
    <t xml:space="preserve">Recipe unit</t>
  </si>
  <si>
    <t xml:space="preserve">Grams per unit</t>
  </si>
  <si>
    <t xml:space="preserve">Note</t>
  </si>
  <si>
    <t xml:space="preserve">1 avocado = 100 g (your note)</t>
  </si>
  <si>
    <t xml:space="preserve">1 cooked strip = 8 g</t>
  </si>
  <si>
    <t xml:space="preserve">tablespoon</t>
  </si>
  <si>
    <t xml:space="preserve">1 tbsp</t>
  </si>
  <si>
    <t xml:space="preserve">1 bouillon cube (assumption)</t>
  </si>
  <si>
    <t xml:space="preserve">1 courgette = 400 g (your note)</t>
  </si>
  <si>
    <t xml:space="preserve">1 egg = 50 g (your note)</t>
  </si>
  <si>
    <t xml:space="preserve">clove</t>
  </si>
  <si>
    <t xml:space="preserve">1 clove = 5 g (your note)</t>
  </si>
  <si>
    <t xml:space="preserve">slice</t>
  </si>
  <si>
    <t xml:space="preserve">1 slice = 45 g (your note)</t>
  </si>
  <si>
    <t xml:space="preserve">teaspoon</t>
  </si>
  <si>
    <t xml:space="preserve">1 tsp</t>
  </si>
  <si>
    <t xml:space="preserve">1 pepper (assumption)</t>
  </si>
  <si>
    <t xml:space="preserve">grams per ml</t>
  </si>
  <si>
    <t xml:space="preserve">1 dry pack (your note)</t>
  </si>
  <si>
    <t xml:space="preserve">1 onion = 150 g (your note)</t>
  </si>
  <si>
    <t xml:space="preserve">scoop</t>
  </si>
  <si>
    <t xml:space="preserve">1 scoop</t>
  </si>
  <si>
    <t xml:space="preserve">1 pack = 28 g</t>
  </si>
  <si>
    <t xml:space="preserve">1 medium tomato (assumption)</t>
  </si>
  <si>
    <t xml:space="preserve">cup</t>
  </si>
  <si>
    <t xml:space="preserve">1 cup drained canned (USDA)</t>
  </si>
  <si>
    <t xml:space="preserve">grams per ml (172 g per 240 ml cup)</t>
  </si>
  <si>
    <t xml:space="preserve">1 onion (assumption)</t>
  </si>
  <si>
    <t xml:space="preserve">1 cup (USDA)</t>
  </si>
  <si>
    <t xml:space="preserve">grams per ml (259 g per 240 ml cup)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</si>
</sst>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.##"/>
    <numFmt numFmtId="168" formatCode="\$#,##0.00"/>
    <numFmt numFmtId="169" formatCode="#,##0"/>
    <numFmt numFmtId="170" formatCode="0.##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1B4332"/>
      </patternFill>
    </fill>
    <fill>
      <patternFill patternType="solid">
        <fgColor rgb="FF048A81"/>
        <bgColor rgb="FF008080"/>
      </patternFill>
    </fill>
    <fill>
      <patternFill patternType="solid">
        <fgColor rgb="FF1B4332"/>
        <bgColor rgb="FF2E4057"/>
      </patternFill>
    </fill>
    <fill>
      <patternFill patternType="solid">
        <fgColor rgb="FFF0F7F6"/>
        <bgColor rgb="FFFFFFFF"/>
      </patternFill>
    </fill>
    <fill>
      <patternFill patternType="solid">
        <fgColor rgb="FFFFFFFF"/>
        <bgColor rgb="FFF0F7F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08080"/>
      <rgbColor rgb="FF9999FF"/>
      <rgbColor rgb="FF993366"/>
      <rgbColor rgb="FFF0F7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4332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23.25" hidden="false" customHeight="true" outlineLevel="0" collapsed="false">
      <c r="A7" s="3" t="s">
        <v>5</v>
      </c>
    </row>
    <row r="8" customFormat="false" ht="23.2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23.2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23.25" hidden="false" customHeight="true" outlineLevel="0" collapsed="false">
      <c r="A22" s="3" t="s">
        <v>17</v>
      </c>
    </row>
    <row r="23" customFormat="false" ht="23.25" hidden="false" customHeight="tru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8"/>
    <col collapsed="false" customWidth="true" hidden="false" outlineLevel="0" max="8" min="7" style="1" width="9"/>
    <col collapsed="false" customWidth="true" hidden="false" outlineLevel="0" max="10" min="9" style="1" width="11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4"/>
    <col collapsed="false" customWidth="true" hidden="false" outlineLevel="0" max="15" min="15" style="1" width="48"/>
    <col collapsed="false" customWidth="true" hidden="false" outlineLevel="0" max="16" min="16" style="1" width="70"/>
  </cols>
  <sheetData>
    <row r="1" customFormat="false" ht="27.75" hidden="false" customHeight="tru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15" hidden="false" customHeight="tru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31.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35</v>
      </c>
      <c r="P3" s="8" t="s">
        <v>36</v>
      </c>
    </row>
    <row r="4" customFormat="false" ht="23.25" hidden="false" customHeight="true" outlineLevel="0" collapsed="false">
      <c r="A4" s="9" t="s">
        <v>37</v>
      </c>
      <c r="B4" s="10" t="s">
        <v>38</v>
      </c>
      <c r="C4" s="11" t="n">
        <v>364</v>
      </c>
      <c r="D4" s="12" t="n">
        <v>10.3</v>
      </c>
      <c r="E4" s="13" t="s">
        <v>39</v>
      </c>
      <c r="F4" s="13" t="s">
        <v>40</v>
      </c>
      <c r="G4" s="14" t="n">
        <v>2500</v>
      </c>
      <c r="H4" s="15" t="s">
        <v>41</v>
      </c>
      <c r="I4" s="16" t="n">
        <v>4.5</v>
      </c>
      <c r="J4" s="17" t="n">
        <f aca="false">IF(OR(G4="",I4=""),"",G4*IF(H4="g",1,IF(H4="kg",1000,SUMIFS('Unit conversions'!$C:$C,'Unit conversions'!$A:$A,$A4,'Unit conversions'!$B:$B,H4))))</f>
        <v>2500</v>
      </c>
      <c r="K4" s="18" t="n">
        <f aca="false">IF(OR(J4="",J4=0),"",I4/J4*100)</f>
        <v>0.18</v>
      </c>
      <c r="L4" s="18" t="n">
        <f aca="false">IF(OR(G4="",I4=""),"",IF(OR(H4="g",H4="ml"),I4/G4*100,I4/G4))</f>
        <v>0.18</v>
      </c>
      <c r="M4" s="19" t="str">
        <f aca="false">IF(H4="","",IF(OR(H4="g",H4="ml"),"100 "&amp;H4,H4))</f>
        <v>100 g</v>
      </c>
      <c r="N4" s="20" t="s">
        <v>42</v>
      </c>
      <c r="O4" s="10" t="s">
        <v>43</v>
      </c>
      <c r="P4" s="13" t="s">
        <v>44</v>
      </c>
    </row>
    <row r="5" customFormat="false" ht="23.25" hidden="false" customHeight="true" outlineLevel="0" collapsed="false">
      <c r="A5" s="21" t="s">
        <v>45</v>
      </c>
      <c r="B5" s="22"/>
      <c r="C5" s="23" t="n">
        <v>200</v>
      </c>
      <c r="D5" s="24" t="n">
        <v>2</v>
      </c>
      <c r="E5" s="25" t="s">
        <v>46</v>
      </c>
      <c r="F5" s="25" t="s">
        <v>47</v>
      </c>
      <c r="G5" s="26" t="n">
        <v>1</v>
      </c>
      <c r="H5" s="27" t="s">
        <v>48</v>
      </c>
      <c r="I5" s="28" t="n">
        <v>2</v>
      </c>
      <c r="J5" s="29" t="n">
        <f aca="false">IF(OR(G5="",I5=""),"",G5*IF(H5="g",1,IF(H5="kg",1000,SUMIFS('Unit conversions'!$C:$C,'Unit conversions'!$A:$A,$A5,'Unit conversions'!$B:$B,H5))))</f>
        <v>100</v>
      </c>
      <c r="K5" s="30" t="n">
        <f aca="false">IF(OR(J5="",J5=0),"",I5/J5*100)</f>
        <v>2</v>
      </c>
      <c r="L5" s="30" t="n">
        <f aca="false">IF(OR(G5="",I5=""),"",IF(OR(H5="g",H5="ml"),I5/G5*100,I5/G5))</f>
        <v>2</v>
      </c>
      <c r="M5" s="31" t="str">
        <f aca="false">IF(H5="","",IF(OR(H5="g",H5="ml"),"100 "&amp;H5,H5))</f>
        <v>piece</v>
      </c>
      <c r="N5" s="32" t="s">
        <v>49</v>
      </c>
      <c r="O5" s="22" t="s">
        <v>50</v>
      </c>
      <c r="P5" s="25" t="s">
        <v>51</v>
      </c>
    </row>
    <row r="6" customFormat="false" ht="23.25" hidden="false" customHeight="true" outlineLevel="0" collapsed="false">
      <c r="A6" s="9" t="s">
        <v>52</v>
      </c>
      <c r="B6" s="10"/>
      <c r="C6" s="11" t="n">
        <v>541</v>
      </c>
      <c r="D6" s="12" t="n">
        <v>37</v>
      </c>
      <c r="E6" s="13" t="s">
        <v>53</v>
      </c>
      <c r="F6" s="13" t="s">
        <v>54</v>
      </c>
      <c r="G6" s="14" t="n">
        <v>31</v>
      </c>
      <c r="H6" s="15" t="s">
        <v>55</v>
      </c>
      <c r="I6" s="16" t="n">
        <v>6.5</v>
      </c>
      <c r="J6" s="17" t="n">
        <f aca="false">IF(OR(G6="",I6=""),"",G6*IF(H6="g",1,IF(H6="kg",1000,SUMIFS('Unit conversions'!$C:$C,'Unit conversions'!$A:$A,$A6,'Unit conversions'!$B:$B,H6))))</f>
        <v>248</v>
      </c>
      <c r="K6" s="18" t="n">
        <f aca="false">IF(OR(J6="",J6=0),"",I6/J6*100)</f>
        <v>2.62096774193548</v>
      </c>
      <c r="L6" s="18" t="n">
        <f aca="false">IF(OR(G6="",I6=""),"",IF(OR(H6="g",H6="ml"),I6/G6*100,I6/G6))</f>
        <v>0.209677419354839</v>
      </c>
      <c r="M6" s="19" t="str">
        <f aca="false">IF(H6="","",IF(OR(H6="g",H6="ml"),"100 "&amp;H6,H6))</f>
        <v>strip</v>
      </c>
      <c r="N6" s="20" t="s">
        <v>49</v>
      </c>
      <c r="O6" s="10" t="s">
        <v>56</v>
      </c>
      <c r="P6" s="13" t="s">
        <v>57</v>
      </c>
    </row>
    <row r="7" customFormat="false" ht="23.25" hidden="false" customHeight="true" outlineLevel="0" collapsed="false">
      <c r="A7" s="21" t="s">
        <v>58</v>
      </c>
      <c r="B7" s="22"/>
      <c r="C7" s="23" t="n">
        <v>53</v>
      </c>
      <c r="D7" s="24" t="n">
        <v>0</v>
      </c>
      <c r="E7" s="25" t="s">
        <v>39</v>
      </c>
      <c r="F7" s="25" t="s">
        <v>59</v>
      </c>
      <c r="G7" s="26" t="n">
        <v>450</v>
      </c>
      <c r="H7" s="27" t="s">
        <v>41</v>
      </c>
      <c r="I7" s="28" t="n">
        <v>6.48</v>
      </c>
      <c r="J7" s="29" t="n">
        <f aca="false">IF(OR(G7="",I7=""),"",G7*IF(H7="g",1,IF(H7="kg",1000,SUMIFS('Unit conversions'!$C:$C,'Unit conversions'!$A:$A,$A7,'Unit conversions'!$B:$B,H7))))</f>
        <v>450</v>
      </c>
      <c r="K7" s="30" t="n">
        <f aca="false">IF(OR(J7="",J7=0),"",I7/J7*100)</f>
        <v>1.44</v>
      </c>
      <c r="L7" s="30" t="n">
        <f aca="false">IF(OR(G7="",I7=""),"",IF(OR(H7="g",H7="ml"),I7/G7*100,I7/G7))</f>
        <v>1.44</v>
      </c>
      <c r="M7" s="31" t="str">
        <f aca="false">IF(H7="","",IF(OR(H7="g",H7="ml"),"100 "&amp;H7,H7))</f>
        <v>100 g</v>
      </c>
      <c r="N7" s="32" t="s">
        <v>42</v>
      </c>
      <c r="O7" s="22" t="s">
        <v>60</v>
      </c>
      <c r="P7" s="25" t="s">
        <v>61</v>
      </c>
    </row>
    <row r="8" customFormat="false" ht="23.25" hidden="false" customHeight="true" outlineLevel="0" collapsed="false">
      <c r="A8" s="9" t="s">
        <v>62</v>
      </c>
      <c r="B8" s="10"/>
      <c r="C8" s="11" t="n">
        <v>131</v>
      </c>
      <c r="D8" s="12" t="n">
        <v>21</v>
      </c>
      <c r="E8" s="13" t="s">
        <v>46</v>
      </c>
      <c r="F8" s="13" t="s">
        <v>63</v>
      </c>
      <c r="G8" s="14" t="n">
        <v>900</v>
      </c>
      <c r="H8" s="15" t="s">
        <v>41</v>
      </c>
      <c r="I8" s="16" t="n">
        <v>19.5</v>
      </c>
      <c r="J8" s="17" t="n">
        <f aca="false">IF(OR(G8="",I8=""),"",G8*IF(H8="g",1,IF(H8="kg",1000,SUMIFS('Unit conversions'!$C:$C,'Unit conversions'!$A:$A,$A8,'Unit conversions'!$B:$B,H8))))</f>
        <v>900</v>
      </c>
      <c r="K8" s="18" t="n">
        <f aca="false">IF(OR(J8="",J8=0),"",I8/J8*100)</f>
        <v>2.16666666666667</v>
      </c>
      <c r="L8" s="18" t="n">
        <f aca="false">IF(OR(G8="",I8=""),"",IF(OR(H8="g",H8="ml"),I8/G8*100,I8/G8))</f>
        <v>2.16666666666667</v>
      </c>
      <c r="M8" s="19" t="str">
        <f aca="false">IF(H8="","",IF(OR(H8="g",H8="ml"),"100 "&amp;H8,H8))</f>
        <v>100 g</v>
      </c>
      <c r="N8" s="20" t="s">
        <v>64</v>
      </c>
      <c r="O8" s="10" t="s">
        <v>65</v>
      </c>
      <c r="P8" s="13" t="s">
        <v>66</v>
      </c>
    </row>
    <row r="9" customFormat="false" ht="23.25" hidden="false" customHeight="true" outlineLevel="0" collapsed="false">
      <c r="A9" s="21" t="s">
        <v>67</v>
      </c>
      <c r="B9" s="22"/>
      <c r="C9" s="23" t="n">
        <v>215</v>
      </c>
      <c r="D9" s="24" t="n">
        <v>10</v>
      </c>
      <c r="E9" s="25" t="s">
        <v>68</v>
      </c>
      <c r="F9" s="25" t="s">
        <v>69</v>
      </c>
      <c r="G9" s="26" t="n">
        <v>6</v>
      </c>
      <c r="H9" s="27" t="s">
        <v>48</v>
      </c>
      <c r="I9" s="28" t="n">
        <v>6.56</v>
      </c>
      <c r="J9" s="29" t="n">
        <f aca="false">IF(OR(G9="",I9=""),"",G9*IF(H9="g",1,IF(H9="kg",1000,SUMIFS('Unit conversions'!$C:$C,'Unit conversions'!$A:$A,$A9,'Unit conversions'!$B:$B,H9))))</f>
        <v>60</v>
      </c>
      <c r="K9" s="30" t="n">
        <f aca="false">IF(OR(J9="",J9=0),"",I9/J9*100)</f>
        <v>10.9333333333333</v>
      </c>
      <c r="L9" s="30" t="n">
        <f aca="false">IF(OR(G9="",I9=""),"",IF(OR(H9="g",H9="ml"),I9/G9*100,I9/G9))</f>
        <v>1.09333333333333</v>
      </c>
      <c r="M9" s="31" t="str">
        <f aca="false">IF(H9="","",IF(OR(H9="g",H9="ml"),"100 "&amp;H9,H9))</f>
        <v>piece</v>
      </c>
      <c r="N9" s="32" t="s">
        <v>64</v>
      </c>
      <c r="O9" s="22" t="s">
        <v>70</v>
      </c>
      <c r="P9" s="25" t="s">
        <v>71</v>
      </c>
    </row>
    <row r="10" customFormat="false" ht="23.25" hidden="false" customHeight="true" outlineLevel="0" collapsed="false">
      <c r="A10" s="9" t="s">
        <v>72</v>
      </c>
      <c r="B10" s="10"/>
      <c r="C10" s="11" t="n">
        <v>57</v>
      </c>
      <c r="D10" s="12" t="n">
        <v>0.7</v>
      </c>
      <c r="E10" s="13" t="s">
        <v>39</v>
      </c>
      <c r="F10" s="13" t="s">
        <v>73</v>
      </c>
      <c r="G10" s="14" t="n">
        <v>170</v>
      </c>
      <c r="H10" s="15" t="s">
        <v>41</v>
      </c>
      <c r="I10" s="16" t="n">
        <v>5.5</v>
      </c>
      <c r="J10" s="17" t="n">
        <f aca="false">IF(OR(G10="",I10=""),"",G10*IF(H10="g",1,IF(H10="kg",1000,SUMIFS('Unit conversions'!$C:$C,'Unit conversions'!$A:$A,$A10,'Unit conversions'!$B:$B,H10))))</f>
        <v>170</v>
      </c>
      <c r="K10" s="18" t="n">
        <f aca="false">IF(OR(J10="",J10=0),"",I10/J10*100)</f>
        <v>3.23529411764706</v>
      </c>
      <c r="L10" s="18" t="n">
        <f aca="false">IF(OR(G10="",I10=""),"",IF(OR(H10="g",H10="ml"),I10/G10*100,I10/G10))</f>
        <v>3.23529411764706</v>
      </c>
      <c r="M10" s="19" t="str">
        <f aca="false">IF(H10="","",IF(OR(H10="g",H10="ml"),"100 "&amp;H10,H10))</f>
        <v>100 g</v>
      </c>
      <c r="N10" s="20" t="s">
        <v>49</v>
      </c>
      <c r="O10" s="10" t="s">
        <v>74</v>
      </c>
      <c r="P10" s="13" t="s">
        <v>75</v>
      </c>
    </row>
    <row r="11" customFormat="false" ht="23.25" hidden="false" customHeight="true" outlineLevel="0" collapsed="false">
      <c r="A11" s="21" t="s">
        <v>76</v>
      </c>
      <c r="B11" s="22"/>
      <c r="C11" s="23" t="n">
        <v>717</v>
      </c>
      <c r="D11" s="24" t="n">
        <v>0.9</v>
      </c>
      <c r="E11" s="25" t="s">
        <v>46</v>
      </c>
      <c r="F11" s="25" t="s">
        <v>77</v>
      </c>
      <c r="G11" s="26" t="n">
        <v>454</v>
      </c>
      <c r="H11" s="27" t="s">
        <v>41</v>
      </c>
      <c r="I11" s="28" t="n">
        <v>8.99</v>
      </c>
      <c r="J11" s="29" t="n">
        <f aca="false">IF(OR(G11="",I11=""),"",G11*IF(H11="g",1,IF(H11="kg",1000,SUMIFS('Unit conversions'!$C:$C,'Unit conversions'!$A:$A,$A11,'Unit conversions'!$B:$B,H11))))</f>
        <v>454</v>
      </c>
      <c r="K11" s="30" t="n">
        <f aca="false">IF(OR(J11="",J11=0),"",I11/J11*100)</f>
        <v>1.98017621145374</v>
      </c>
      <c r="L11" s="30" t="n">
        <f aca="false">IF(OR(G11="",I11=""),"",IF(OR(H11="g",H11="ml"),I11/G11*100,I11/G11))</f>
        <v>1.98017621145374</v>
      </c>
      <c r="M11" s="31" t="str">
        <f aca="false">IF(H11="","",IF(OR(H11="g",H11="ml"),"100 "&amp;H11,H11))</f>
        <v>100 g</v>
      </c>
      <c r="N11" s="32" t="s">
        <v>49</v>
      </c>
      <c r="O11" s="22" t="s">
        <v>78</v>
      </c>
      <c r="P11" s="25" t="s">
        <v>79</v>
      </c>
    </row>
    <row r="12" customFormat="false" ht="23.25" hidden="false" customHeight="true" outlineLevel="0" collapsed="false">
      <c r="A12" s="9" t="s">
        <v>80</v>
      </c>
      <c r="B12" s="10"/>
      <c r="C12" s="11" t="n">
        <v>403</v>
      </c>
      <c r="D12" s="12" t="n">
        <v>24.9</v>
      </c>
      <c r="E12" s="13" t="s">
        <v>46</v>
      </c>
      <c r="F12" s="13" t="s">
        <v>81</v>
      </c>
      <c r="G12" s="14" t="n">
        <v>400</v>
      </c>
      <c r="H12" s="15" t="s">
        <v>41</v>
      </c>
      <c r="I12" s="16" t="n">
        <v>6.5</v>
      </c>
      <c r="J12" s="17" t="n">
        <f aca="false">IF(OR(G12="",I12=""),"",G12*IF(H12="g",1,IF(H12="kg",1000,SUMIFS('Unit conversions'!$C:$C,'Unit conversions'!$A:$A,$A12,'Unit conversions'!$B:$B,H12))))</f>
        <v>400</v>
      </c>
      <c r="K12" s="18" t="n">
        <f aca="false">IF(OR(J12="",J12=0),"",I12/J12*100)</f>
        <v>1.625</v>
      </c>
      <c r="L12" s="18" t="n">
        <f aca="false">IF(OR(G12="",I12=""),"",IF(OR(H12="g",H12="ml"),I12/G12*100,I12/G12))</f>
        <v>1.625</v>
      </c>
      <c r="M12" s="19" t="str">
        <f aca="false">IF(H12="","",IF(OR(H12="g",H12="ml"),"100 "&amp;H12,H12))</f>
        <v>100 g</v>
      </c>
      <c r="N12" s="20" t="s">
        <v>49</v>
      </c>
      <c r="O12" s="10" t="s">
        <v>82</v>
      </c>
      <c r="P12" s="13" t="s">
        <v>83</v>
      </c>
    </row>
    <row r="13" customFormat="false" ht="23.25" hidden="false" customHeight="true" outlineLevel="0" collapsed="false">
      <c r="A13" s="21" t="s">
        <v>84</v>
      </c>
      <c r="B13" s="22" t="s">
        <v>85</v>
      </c>
      <c r="C13" s="23" t="n">
        <v>18</v>
      </c>
      <c r="D13" s="24" t="n">
        <v>0.9</v>
      </c>
      <c r="E13" s="25" t="s">
        <v>39</v>
      </c>
      <c r="F13" s="25" t="s">
        <v>86</v>
      </c>
      <c r="G13" s="26" t="n">
        <v>283</v>
      </c>
      <c r="H13" s="27" t="s">
        <v>41</v>
      </c>
      <c r="I13" s="28" t="n">
        <v>5.5</v>
      </c>
      <c r="J13" s="29" t="n">
        <f aca="false">IF(OR(G13="",I13=""),"",G13*IF(H13="g",1,IF(H13="kg",1000,SUMIFS('Unit conversions'!$C:$C,'Unit conversions'!$A:$A,$A13,'Unit conversions'!$B:$B,H13))))</f>
        <v>283</v>
      </c>
      <c r="K13" s="30" t="n">
        <f aca="false">IF(OR(J13="",J13=0),"",I13/J13*100)</f>
        <v>1.9434628975265</v>
      </c>
      <c r="L13" s="30" t="n">
        <f aca="false">IF(OR(G13="",I13=""),"",IF(OR(H13="g",H13="ml"),I13/G13*100,I13/G13))</f>
        <v>1.9434628975265</v>
      </c>
      <c r="M13" s="31" t="str">
        <f aca="false">IF(H13="","",IF(OR(H13="g",H13="ml"),"100 "&amp;H13,H13))</f>
        <v>100 g</v>
      </c>
      <c r="N13" s="32" t="s">
        <v>49</v>
      </c>
      <c r="O13" s="22" t="s">
        <v>87</v>
      </c>
      <c r="P13" s="25" t="s">
        <v>88</v>
      </c>
    </row>
    <row r="14" customFormat="false" ht="34.5" hidden="false" customHeight="true" outlineLevel="0" collapsed="false">
      <c r="A14" s="9" t="s">
        <v>89</v>
      </c>
      <c r="B14" s="10"/>
      <c r="C14" s="11" t="n">
        <v>106</v>
      </c>
      <c r="D14" s="12" t="n">
        <v>23</v>
      </c>
      <c r="E14" s="13" t="s">
        <v>46</v>
      </c>
      <c r="F14" s="13" t="s">
        <v>90</v>
      </c>
      <c r="G14" s="14" t="n">
        <v>1180</v>
      </c>
      <c r="H14" s="15" t="s">
        <v>41</v>
      </c>
      <c r="I14" s="16" t="n">
        <v>23.33</v>
      </c>
      <c r="J14" s="17" t="n">
        <f aca="false">IF(OR(G14="",I14=""),"",G14*IF(H14="g",1,IF(H14="kg",1000,SUMIFS('Unit conversions'!$C:$C,'Unit conversions'!$A:$A,$A14,'Unit conversions'!$B:$B,H14))))</f>
        <v>1180</v>
      </c>
      <c r="K14" s="18" t="n">
        <f aca="false">IF(OR(J14="",J14=0),"",I14/J14*100)</f>
        <v>1.9771186440678</v>
      </c>
      <c r="L14" s="18" t="n">
        <f aca="false">IF(OR(G14="",I14=""),"",IF(OR(H14="g",H14="ml"),I14/G14*100,I14/G14))</f>
        <v>1.9771186440678</v>
      </c>
      <c r="M14" s="19" t="str">
        <f aca="false">IF(H14="","",IF(OR(H14="g",H14="ml"),"100 "&amp;H14,H14))</f>
        <v>100 g</v>
      </c>
      <c r="N14" s="20" t="s">
        <v>49</v>
      </c>
      <c r="O14" s="10" t="s">
        <v>91</v>
      </c>
      <c r="P14" s="13" t="s">
        <v>92</v>
      </c>
    </row>
    <row r="15" customFormat="false" ht="23.25" hidden="false" customHeight="true" outlineLevel="0" collapsed="false">
      <c r="A15" s="21" t="s">
        <v>93</v>
      </c>
      <c r="B15" s="22"/>
      <c r="C15" s="23" t="n">
        <v>480</v>
      </c>
      <c r="D15" s="24" t="n">
        <v>4.2</v>
      </c>
      <c r="E15" s="25" t="s">
        <v>39</v>
      </c>
      <c r="F15" s="25" t="s">
        <v>94</v>
      </c>
      <c r="G15" s="26" t="n">
        <v>300</v>
      </c>
      <c r="H15" s="27" t="s">
        <v>41</v>
      </c>
      <c r="I15" s="28" t="n">
        <v>5</v>
      </c>
      <c r="J15" s="29" t="n">
        <f aca="false">IF(OR(G15="",I15=""),"",G15*IF(H15="g",1,IF(H15="kg",1000,SUMIFS('Unit conversions'!$C:$C,'Unit conversions'!$A:$A,$A15,'Unit conversions'!$B:$B,H15))))</f>
        <v>300</v>
      </c>
      <c r="K15" s="30" t="n">
        <f aca="false">IF(OR(J15="",J15=0),"",I15/J15*100)</f>
        <v>1.66666666666667</v>
      </c>
      <c r="L15" s="30" t="n">
        <f aca="false">IF(OR(G15="",I15=""),"",IF(OR(H15="g",H15="ml"),I15/G15*100,I15/G15))</f>
        <v>1.66666666666667</v>
      </c>
      <c r="M15" s="31" t="str">
        <f aca="false">IF(H15="","",IF(OR(H15="g",H15="ml"),"100 "&amp;H15,H15))</f>
        <v>100 g</v>
      </c>
      <c r="N15" s="32" t="s">
        <v>42</v>
      </c>
      <c r="O15" s="22" t="s">
        <v>95</v>
      </c>
      <c r="P15" s="25" t="s">
        <v>96</v>
      </c>
    </row>
    <row r="16" customFormat="false" ht="23.25" hidden="false" customHeight="true" outlineLevel="0" collapsed="false">
      <c r="A16" s="9" t="s">
        <v>97</v>
      </c>
      <c r="B16" s="10" t="s">
        <v>98</v>
      </c>
      <c r="C16" s="11" t="n">
        <v>381</v>
      </c>
      <c r="D16" s="12" t="n">
        <v>0.3</v>
      </c>
      <c r="E16" s="13" t="s">
        <v>39</v>
      </c>
      <c r="F16" s="13" t="s">
        <v>99</v>
      </c>
      <c r="G16" s="14" t="n">
        <v>454</v>
      </c>
      <c r="H16" s="15" t="s">
        <v>41</v>
      </c>
      <c r="I16" s="16" t="n">
        <v>4</v>
      </c>
      <c r="J16" s="17" t="n">
        <f aca="false">IF(OR(G16="",I16=""),"",G16*IF(H16="g",1,IF(H16="kg",1000,SUMIFS('Unit conversions'!$C:$C,'Unit conversions'!$A:$A,$A16,'Unit conversions'!$B:$B,H16))))</f>
        <v>454</v>
      </c>
      <c r="K16" s="18" t="n">
        <f aca="false">IF(OR(J16="",J16=0),"",I16/J16*100)</f>
        <v>0.881057268722467</v>
      </c>
      <c r="L16" s="18" t="n">
        <f aca="false">IF(OR(G16="",I16=""),"",IF(OR(H16="g",H16="ml"),I16/G16*100,I16/G16))</f>
        <v>0.881057268722467</v>
      </c>
      <c r="M16" s="19" t="str">
        <f aca="false">IF(H16="","",IF(OR(H16="g",H16="ml"),"100 "&amp;H16,H16))</f>
        <v>100 g</v>
      </c>
      <c r="N16" s="20" t="s">
        <v>49</v>
      </c>
      <c r="O16" s="10" t="s">
        <v>60</v>
      </c>
      <c r="P16" s="13"/>
    </row>
    <row r="17" customFormat="false" ht="15" hidden="false" customHeight="true" outlineLevel="0" collapsed="false">
      <c r="A17" s="33" t="s">
        <v>100</v>
      </c>
      <c r="B17" s="34" t="s">
        <v>101</v>
      </c>
      <c r="C17" s="35" t="n">
        <v>20</v>
      </c>
      <c r="D17" s="36" t="n">
        <v>1</v>
      </c>
      <c r="E17" s="34" t="s">
        <v>46</v>
      </c>
      <c r="F17" s="34"/>
      <c r="G17" s="37"/>
      <c r="H17" s="38"/>
      <c r="I17" s="39"/>
      <c r="J17" s="40" t="str">
        <f aca="false">IF(OR(G17="",I17=""),"",G17*IF(H17="g",1,IF(H17="kg",1000,SUMIFS('Unit conversions'!$C:$C,'Unit conversions'!$A:$A,$A17,'Unit conversions'!$B:$B,H17))))</f>
        <v/>
      </c>
      <c r="K17" s="39" t="str">
        <f aca="false">IF(OR(J17="",J17=0),"",I17/J17*100)</f>
        <v/>
      </c>
      <c r="L17" s="39" t="str">
        <f aca="false">IF(OR(G17="",I17=""),"",IF(OR(H17="g",H17="ml"),I17/G17*100,I17/G17))</f>
        <v/>
      </c>
      <c r="M17" s="38" t="str">
        <f aca="false">IF(H17="","",IF(OR(H17="g",H17="ml"),"100 "&amp;H17,H17))</f>
        <v/>
      </c>
      <c r="N17" s="41" t="s">
        <v>102</v>
      </c>
      <c r="O17" s="34"/>
      <c r="P17" s="34" t="s">
        <v>103</v>
      </c>
    </row>
    <row r="18" customFormat="false" ht="15" hidden="false" customHeight="true" outlineLevel="0" collapsed="false">
      <c r="A18" s="42" t="s">
        <v>104</v>
      </c>
      <c r="B18" s="43" t="s">
        <v>105</v>
      </c>
      <c r="C18" s="44" t="n">
        <v>191</v>
      </c>
      <c r="D18" s="45" t="n">
        <v>2.6</v>
      </c>
      <c r="E18" s="43" t="s">
        <v>46</v>
      </c>
      <c r="F18" s="43"/>
      <c r="G18" s="46"/>
      <c r="H18" s="47"/>
      <c r="I18" s="48"/>
      <c r="J18" s="49" t="str">
        <f aca="false">IF(OR(G18="",I18=""),"",G18*IF(H18="g",1,IF(H18="kg",1000,SUMIFS('Unit conversions'!$C:$C,'Unit conversions'!$A:$A,$A18,'Unit conversions'!$B:$B,H18))))</f>
        <v/>
      </c>
      <c r="K18" s="48" t="str">
        <f aca="false">IF(OR(J18="",J18=0),"",I18/J18*100)</f>
        <v/>
      </c>
      <c r="L18" s="48" t="str">
        <f aca="false">IF(OR(G18="",I18=""),"",IF(OR(H18="g",H18="ml"),I18/G18*100,I18/G18))</f>
        <v/>
      </c>
      <c r="M18" s="47" t="str">
        <f aca="false">IF(H18="","",IF(OR(H18="g",H18="ml"),"100 "&amp;H18,H18))</f>
        <v/>
      </c>
      <c r="N18" s="50" t="s">
        <v>102</v>
      </c>
      <c r="O18" s="43"/>
      <c r="P18" s="43" t="s">
        <v>79</v>
      </c>
    </row>
    <row r="19" customFormat="false" ht="15" hidden="false" customHeight="true" outlineLevel="0" collapsed="false">
      <c r="A19" s="33" t="s">
        <v>106</v>
      </c>
      <c r="B19" s="34"/>
      <c r="C19" s="35" t="n">
        <v>164</v>
      </c>
      <c r="D19" s="36" t="n">
        <v>6</v>
      </c>
      <c r="E19" s="34" t="s">
        <v>46</v>
      </c>
      <c r="F19" s="34"/>
      <c r="G19" s="37"/>
      <c r="H19" s="38"/>
      <c r="I19" s="39"/>
      <c r="J19" s="40" t="str">
        <f aca="false">IF(OR(G19="",I19=""),"",G19*IF(H19="g",1,IF(H19="kg",1000,SUMIFS('Unit conversions'!$C:$C,'Unit conversions'!$A:$A,$A19,'Unit conversions'!$B:$B,H19))))</f>
        <v/>
      </c>
      <c r="K19" s="39" t="str">
        <f aca="false">IF(OR(J19="",J19=0),"",I19/J19*100)</f>
        <v/>
      </c>
      <c r="L19" s="39" t="str">
        <f aca="false">IF(OR(G19="",I19=""),"",IF(OR(H19="g",H19="ml"),I19/G19*100,I19/G19))</f>
        <v/>
      </c>
      <c r="M19" s="38" t="str">
        <f aca="false">IF(H19="","",IF(OR(H19="g",H19="ml"),"100 "&amp;H19,H19))</f>
        <v/>
      </c>
      <c r="N19" s="41" t="s">
        <v>102</v>
      </c>
      <c r="O19" s="34"/>
      <c r="P19" s="34" t="s">
        <v>107</v>
      </c>
    </row>
    <row r="20" customFormat="false" ht="23.25" hidden="false" customHeight="true" outlineLevel="0" collapsed="false">
      <c r="A20" s="9" t="s">
        <v>108</v>
      </c>
      <c r="B20" s="10"/>
      <c r="C20" s="11" t="n">
        <v>522</v>
      </c>
      <c r="D20" s="12" t="n">
        <v>7</v>
      </c>
      <c r="E20" s="13" t="s">
        <v>46</v>
      </c>
      <c r="F20" s="13" t="s">
        <v>109</v>
      </c>
      <c r="G20" s="14" t="n">
        <v>200</v>
      </c>
      <c r="H20" s="15" t="s">
        <v>41</v>
      </c>
      <c r="I20" s="16" t="n">
        <v>4</v>
      </c>
      <c r="J20" s="17" t="n">
        <f aca="false">IF(OR(G20="",I20=""),"",G20*IF(H20="g",1,IF(H20="kg",1000,SUMIFS('Unit conversions'!$C:$C,'Unit conversions'!$A:$A,$A20,'Unit conversions'!$B:$B,H20))))</f>
        <v>200</v>
      </c>
      <c r="K20" s="18" t="n">
        <f aca="false">IF(OR(J20="",J20=0),"",I20/J20*100)</f>
        <v>2</v>
      </c>
      <c r="L20" s="18" t="n">
        <f aca="false">IF(OR(G20="",I20=""),"",IF(OR(H20="g",H20="ml"),I20/G20*100,I20/G20))</f>
        <v>2</v>
      </c>
      <c r="M20" s="19" t="str">
        <f aca="false">IF(H20="","",IF(OR(H20="g",H20="ml"),"100 "&amp;H20,H20))</f>
        <v>100 g</v>
      </c>
      <c r="N20" s="20" t="s">
        <v>42</v>
      </c>
      <c r="O20" s="10" t="s">
        <v>95</v>
      </c>
      <c r="P20" s="13" t="s">
        <v>110</v>
      </c>
    </row>
    <row r="21" customFormat="false" ht="23.25" hidden="false" customHeight="true" outlineLevel="0" collapsed="false">
      <c r="A21" s="21" t="s">
        <v>111</v>
      </c>
      <c r="B21" s="22" t="s">
        <v>112</v>
      </c>
      <c r="C21" s="23" t="n">
        <v>147</v>
      </c>
      <c r="D21" s="24" t="n">
        <v>13</v>
      </c>
      <c r="E21" s="25" t="s">
        <v>46</v>
      </c>
      <c r="F21" s="25" t="s">
        <v>113</v>
      </c>
      <c r="G21" s="26" t="n">
        <v>12</v>
      </c>
      <c r="H21" s="27" t="s">
        <v>114</v>
      </c>
      <c r="I21" s="28" t="n">
        <v>4.29</v>
      </c>
      <c r="J21" s="29" t="n">
        <f aca="false">IF(OR(G21="",I21=""),"",G21*IF(H21="g",1,IF(H21="kg",1000,SUMIFS('Unit conversions'!$C:$C,'Unit conversions'!$A:$A,$A21,'Unit conversions'!$B:$B,H21))))</f>
        <v>600</v>
      </c>
      <c r="K21" s="30" t="n">
        <f aca="false">IF(OR(J21="",J21=0),"",I21/J21*100)</f>
        <v>0.715</v>
      </c>
      <c r="L21" s="30" t="n">
        <f aca="false">IF(OR(G21="",I21=""),"",IF(OR(H21="g",H21="ml"),I21/G21*100,I21/G21))</f>
        <v>0.3575</v>
      </c>
      <c r="M21" s="31" t="str">
        <f aca="false">IF(H21="","",IF(OR(H21="g",H21="ml"),"100 "&amp;H21,H21))</f>
        <v>unit</v>
      </c>
      <c r="N21" s="32" t="s">
        <v>49</v>
      </c>
      <c r="O21" s="22" t="s">
        <v>115</v>
      </c>
      <c r="P21" s="25" t="s">
        <v>116</v>
      </c>
    </row>
    <row r="22" customFormat="false" ht="15" hidden="false" customHeight="true" outlineLevel="0" collapsed="false">
      <c r="A22" s="42" t="s">
        <v>117</v>
      </c>
      <c r="B22" s="43"/>
      <c r="C22" s="44" t="n">
        <v>371</v>
      </c>
      <c r="D22" s="45" t="n">
        <v>27</v>
      </c>
      <c r="E22" s="43" t="s">
        <v>46</v>
      </c>
      <c r="F22" s="43"/>
      <c r="G22" s="46"/>
      <c r="H22" s="47"/>
      <c r="I22" s="48"/>
      <c r="J22" s="49" t="str">
        <f aca="false">IF(OR(G22="",I22=""),"",G22*IF(H22="g",1,IF(H22="kg",1000,SUMIFS('Unit conversions'!$C:$C,'Unit conversions'!$A:$A,$A22,'Unit conversions'!$B:$B,H22))))</f>
        <v/>
      </c>
      <c r="K22" s="48" t="str">
        <f aca="false">IF(OR(J22="",J22=0),"",I22/J22*100)</f>
        <v/>
      </c>
      <c r="L22" s="48" t="str">
        <f aca="false">IF(OR(G22="",I22=""),"",IF(OR(H22="g",H22="ml"),I22/G22*100,I22/G22))</f>
        <v/>
      </c>
      <c r="M22" s="47" t="str">
        <f aca="false">IF(H22="","",IF(OR(H22="g",H22="ml"),"100 "&amp;H22,H22))</f>
        <v/>
      </c>
      <c r="N22" s="50" t="s">
        <v>102</v>
      </c>
      <c r="O22" s="43"/>
      <c r="P22" s="43" t="s">
        <v>79</v>
      </c>
    </row>
    <row r="23" customFormat="false" ht="23.25" hidden="false" customHeight="true" outlineLevel="0" collapsed="false">
      <c r="A23" s="21" t="s">
        <v>118</v>
      </c>
      <c r="B23" s="22"/>
      <c r="C23" s="23" t="n">
        <v>149</v>
      </c>
      <c r="D23" s="24" t="n">
        <v>6.4</v>
      </c>
      <c r="E23" s="25" t="s">
        <v>46</v>
      </c>
      <c r="F23" s="25" t="s">
        <v>119</v>
      </c>
      <c r="G23" s="26" t="n">
        <v>90</v>
      </c>
      <c r="H23" s="27" t="s">
        <v>41</v>
      </c>
      <c r="I23" s="28" t="n">
        <v>1</v>
      </c>
      <c r="J23" s="29" t="n">
        <f aca="false">IF(OR(G23="",I23=""),"",G23*IF(H23="g",1,IF(H23="kg",1000,SUMIFS('Unit conversions'!$C:$C,'Unit conversions'!$A:$A,$A23,'Unit conversions'!$B:$B,H23))))</f>
        <v>90</v>
      </c>
      <c r="K23" s="30" t="n">
        <f aca="false">IF(OR(J23="",J23=0),"",I23/J23*100)</f>
        <v>1.11111111111111</v>
      </c>
      <c r="L23" s="30" t="n">
        <f aca="false">IF(OR(G23="",I23=""),"",IF(OR(H23="g",H23="ml"),I23/G23*100,I23/G23))</f>
        <v>1.11111111111111</v>
      </c>
      <c r="M23" s="31" t="str">
        <f aca="false">IF(H23="","",IF(OR(H23="g",H23="ml"),"100 "&amp;H23,H23))</f>
        <v>100 g</v>
      </c>
      <c r="N23" s="32" t="s">
        <v>49</v>
      </c>
      <c r="O23" s="22" t="s">
        <v>120</v>
      </c>
      <c r="P23" s="25" t="s">
        <v>121</v>
      </c>
    </row>
    <row r="24" customFormat="false" ht="23.25" hidden="false" customHeight="true" outlineLevel="0" collapsed="false">
      <c r="A24" s="9" t="s">
        <v>122</v>
      </c>
      <c r="B24" s="10"/>
      <c r="C24" s="11" t="n">
        <v>190</v>
      </c>
      <c r="D24" s="12" t="n">
        <v>5</v>
      </c>
      <c r="E24" s="13" t="s">
        <v>46</v>
      </c>
      <c r="F24" s="13" t="s">
        <v>123</v>
      </c>
      <c r="G24" s="14" t="n">
        <v>500</v>
      </c>
      <c r="H24" s="15" t="s">
        <v>41</v>
      </c>
      <c r="I24" s="16" t="n">
        <v>3.3</v>
      </c>
      <c r="J24" s="17" t="n">
        <f aca="false">IF(OR(G24="",I24=""),"",G24*IF(H24="g",1,IF(H24="kg",1000,SUMIFS('Unit conversions'!$C:$C,'Unit conversions'!$A:$A,$A24,'Unit conversions'!$B:$B,H24))))</f>
        <v>500</v>
      </c>
      <c r="K24" s="18" t="n">
        <f aca="false">IF(OR(J24="",J24=0),"",I24/J24*100)</f>
        <v>0.66</v>
      </c>
      <c r="L24" s="18" t="n">
        <f aca="false">IF(OR(G24="",I24=""),"",IF(OR(H24="g",H24="ml"),I24/G24*100,I24/G24))</f>
        <v>0.66</v>
      </c>
      <c r="M24" s="19" t="str">
        <f aca="false">IF(H24="","",IF(OR(H24="g",H24="ml"),"100 "&amp;H24,H24))</f>
        <v>100 g</v>
      </c>
      <c r="N24" s="20" t="s">
        <v>42</v>
      </c>
      <c r="O24" s="10" t="s">
        <v>124</v>
      </c>
      <c r="P24" s="13" t="s">
        <v>125</v>
      </c>
    </row>
    <row r="25" customFormat="false" ht="23.25" hidden="false" customHeight="true" outlineLevel="0" collapsed="false">
      <c r="A25" s="21" t="s">
        <v>126</v>
      </c>
      <c r="B25" s="22" t="s">
        <v>127</v>
      </c>
      <c r="C25" s="23" t="n">
        <v>59</v>
      </c>
      <c r="D25" s="24" t="n">
        <v>10.2</v>
      </c>
      <c r="E25" s="25" t="s">
        <v>128</v>
      </c>
      <c r="F25" s="25" t="s">
        <v>129</v>
      </c>
      <c r="G25" s="26" t="n">
        <v>750</v>
      </c>
      <c r="H25" s="27" t="s">
        <v>41</v>
      </c>
      <c r="I25" s="28" t="n">
        <v>5.5</v>
      </c>
      <c r="J25" s="29" t="n">
        <f aca="false">IF(OR(G25="",I25=""),"",G25*IF(H25="g",1,IF(H25="kg",1000,SUMIFS('Unit conversions'!$C:$C,'Unit conversions'!$A:$A,$A25,'Unit conversions'!$B:$B,H25))))</f>
        <v>750</v>
      </c>
      <c r="K25" s="30" t="n">
        <f aca="false">IF(OR(J25="",J25=0),"",I25/J25*100)</f>
        <v>0.733333333333333</v>
      </c>
      <c r="L25" s="30" t="n">
        <f aca="false">IF(OR(G25="",I25=""),"",IF(OR(H25="g",H25="ml"),I25/G25*100,I25/G25))</f>
        <v>0.733333333333333</v>
      </c>
      <c r="M25" s="31" t="str">
        <f aca="false">IF(H25="","",IF(OR(H25="g",H25="ml"),"100 "&amp;H25,H25))</f>
        <v>100 g</v>
      </c>
      <c r="N25" s="32" t="s">
        <v>42</v>
      </c>
      <c r="O25" s="22" t="s">
        <v>130</v>
      </c>
      <c r="P25" s="25" t="s">
        <v>131</v>
      </c>
    </row>
    <row r="26" customFormat="false" ht="23.25" hidden="false" customHeight="true" outlineLevel="0" collapsed="false">
      <c r="A26" s="9" t="s">
        <v>132</v>
      </c>
      <c r="B26" s="10"/>
      <c r="C26" s="11" t="n">
        <v>31</v>
      </c>
      <c r="D26" s="12" t="n">
        <v>1.8</v>
      </c>
      <c r="E26" s="13" t="s">
        <v>39</v>
      </c>
      <c r="F26" s="13" t="s">
        <v>133</v>
      </c>
      <c r="G26" s="14" t="n">
        <v>100</v>
      </c>
      <c r="H26" s="15" t="s">
        <v>41</v>
      </c>
      <c r="I26" s="16" t="n">
        <v>0.88</v>
      </c>
      <c r="J26" s="17" t="n">
        <f aca="false">IF(OR(G26="",I26=""),"",G26*IF(H26="g",1,IF(H26="kg",1000,SUMIFS('Unit conversions'!$C:$C,'Unit conversions'!$A:$A,$A26,'Unit conversions'!$B:$B,H26))))</f>
        <v>100</v>
      </c>
      <c r="K26" s="18" t="n">
        <f aca="false">IF(OR(J26="",J26=0),"",I26/J26*100)</f>
        <v>0.88</v>
      </c>
      <c r="L26" s="18" t="n">
        <f aca="false">IF(OR(G26="",I26=""),"",IF(OR(H26="g",H26="ml"),I26/G26*100,I26/G26))</f>
        <v>0.88</v>
      </c>
      <c r="M26" s="19" t="str">
        <f aca="false">IF(H26="","",IF(OR(H26="g",H26="ml"),"100 "&amp;H26,H26))</f>
        <v>100 g</v>
      </c>
      <c r="N26" s="20" t="s">
        <v>49</v>
      </c>
      <c r="O26" s="10" t="s">
        <v>134</v>
      </c>
      <c r="P26" s="13" t="s">
        <v>135</v>
      </c>
    </row>
    <row r="27" customFormat="false" ht="15" hidden="false" customHeight="true" outlineLevel="0" collapsed="false">
      <c r="A27" s="33" t="s">
        <v>136</v>
      </c>
      <c r="B27" s="34"/>
      <c r="C27" s="35" t="n">
        <v>112</v>
      </c>
      <c r="D27" s="36" t="n">
        <v>21</v>
      </c>
      <c r="E27" s="34" t="s">
        <v>46</v>
      </c>
      <c r="F27" s="34"/>
      <c r="G27" s="37"/>
      <c r="H27" s="38"/>
      <c r="I27" s="39"/>
      <c r="J27" s="40" t="str">
        <f aca="false">IF(OR(G27="",I27=""),"",G27*IF(H27="g",1,IF(H27="kg",1000,SUMIFS('Unit conversions'!$C:$C,'Unit conversions'!$A:$A,$A27,'Unit conversions'!$B:$B,H27))))</f>
        <v/>
      </c>
      <c r="K27" s="39" t="str">
        <f aca="false">IF(OR(J27="",J27=0),"",I27/J27*100)</f>
        <v/>
      </c>
      <c r="L27" s="39" t="str">
        <f aca="false">IF(OR(G27="",I27=""),"",IF(OR(H27="g",H27="ml"),I27/G27*100,I27/G27))</f>
        <v/>
      </c>
      <c r="M27" s="38" t="str">
        <f aca="false">IF(H27="","",IF(OR(H27="g",H27="ml"),"100 "&amp;H27,H27))</f>
        <v/>
      </c>
      <c r="N27" s="41" t="s">
        <v>102</v>
      </c>
      <c r="O27" s="34"/>
      <c r="P27" s="34" t="s">
        <v>137</v>
      </c>
    </row>
    <row r="28" customFormat="false" ht="23.25" hidden="false" customHeight="true" outlineLevel="0" collapsed="false">
      <c r="A28" s="9" t="s">
        <v>138</v>
      </c>
      <c r="B28" s="10"/>
      <c r="C28" s="11" t="n">
        <v>304</v>
      </c>
      <c r="D28" s="12" t="n">
        <v>0.3</v>
      </c>
      <c r="E28" s="13" t="s">
        <v>39</v>
      </c>
      <c r="F28" s="13" t="s">
        <v>139</v>
      </c>
      <c r="G28" s="14" t="n">
        <v>500</v>
      </c>
      <c r="H28" s="15" t="s">
        <v>41</v>
      </c>
      <c r="I28" s="16" t="n">
        <v>10.99</v>
      </c>
      <c r="J28" s="17" t="n">
        <f aca="false">IF(OR(G28="",I28=""),"",G28*IF(H28="g",1,IF(H28="kg",1000,SUMIFS('Unit conversions'!$C:$C,'Unit conversions'!$A:$A,$A28,'Unit conversions'!$B:$B,H28))))</f>
        <v>500</v>
      </c>
      <c r="K28" s="18" t="n">
        <f aca="false">IF(OR(J28="",J28=0),"",I28/J28*100)</f>
        <v>2.198</v>
      </c>
      <c r="L28" s="18" t="n">
        <f aca="false">IF(OR(G28="",I28=""),"",IF(OR(H28="g",H28="ml"),I28/G28*100,I28/G28))</f>
        <v>2.198</v>
      </c>
      <c r="M28" s="19" t="str">
        <f aca="false">IF(H28="","",IF(OR(H28="g",H28="ml"),"100 "&amp;H28,H28))</f>
        <v>100 g</v>
      </c>
      <c r="N28" s="20" t="s">
        <v>49</v>
      </c>
      <c r="O28" s="10" t="s">
        <v>140</v>
      </c>
      <c r="P28" s="13" t="s">
        <v>141</v>
      </c>
    </row>
    <row r="29" customFormat="false" ht="23.25" hidden="false" customHeight="true" outlineLevel="0" collapsed="false">
      <c r="A29" s="21" t="s">
        <v>142</v>
      </c>
      <c r="B29" s="22" t="s">
        <v>143</v>
      </c>
      <c r="C29" s="23" t="n">
        <v>29</v>
      </c>
      <c r="D29" s="24" t="n">
        <v>0.9</v>
      </c>
      <c r="E29" s="25" t="s">
        <v>39</v>
      </c>
      <c r="F29" s="25" t="s">
        <v>144</v>
      </c>
      <c r="G29" s="26" t="n">
        <v>1</v>
      </c>
      <c r="H29" s="27" t="s">
        <v>48</v>
      </c>
      <c r="I29" s="28" t="n">
        <v>0.69</v>
      </c>
      <c r="J29" s="29" t="n">
        <f aca="false">IF(OR(G29="",I29=""),"",G29*IF(H29="g",1,IF(H29="kg",1000,SUMIFS('Unit conversions'!$C:$C,'Unit conversions'!$A:$A,$A29,'Unit conversions'!$B:$B,H29))))</f>
        <v>25</v>
      </c>
      <c r="K29" s="30" t="n">
        <f aca="false">IF(OR(J29="",J29=0),"",I29/J29*100)</f>
        <v>2.76</v>
      </c>
      <c r="L29" s="30" t="n">
        <f aca="false">IF(OR(G29="",I29=""),"",IF(OR(H29="g",H29="ml"),I29/G29*100,I29/G29))</f>
        <v>0.69</v>
      </c>
      <c r="M29" s="31" t="str">
        <f aca="false">IF(H29="","",IF(OR(H29="g",H29="ml"),"100 "&amp;H29,H29))</f>
        <v>piece</v>
      </c>
      <c r="N29" s="32" t="s">
        <v>64</v>
      </c>
      <c r="O29" s="22" t="s">
        <v>65</v>
      </c>
      <c r="P29" s="25" t="s">
        <v>145</v>
      </c>
    </row>
    <row r="30" customFormat="false" ht="23.25" hidden="false" customHeight="true" outlineLevel="0" collapsed="false">
      <c r="A30" s="9" t="s">
        <v>146</v>
      </c>
      <c r="B30" s="10"/>
      <c r="C30" s="11" t="n">
        <v>101</v>
      </c>
      <c r="D30" s="12" t="n">
        <v>1</v>
      </c>
      <c r="E30" s="13" t="s">
        <v>39</v>
      </c>
      <c r="F30" s="13" t="s">
        <v>147</v>
      </c>
      <c r="G30" s="14" t="n">
        <v>750</v>
      </c>
      <c r="H30" s="15" t="s">
        <v>148</v>
      </c>
      <c r="I30" s="16" t="n">
        <v>6</v>
      </c>
      <c r="J30" s="17" t="n">
        <f aca="false">IF(OR(G30="",I30=""),"",G30*IF(H30="g",1,IF(H30="kg",1000,SUMIFS('Unit conversions'!$C:$C,'Unit conversions'!$A:$A,$A30,'Unit conversions'!$B:$B,H30))))</f>
        <v>862.5</v>
      </c>
      <c r="K30" s="18" t="n">
        <f aca="false">IF(OR(J30="",J30=0),"",I30/J30*100)</f>
        <v>0.695652173913044</v>
      </c>
      <c r="L30" s="18" t="n">
        <f aca="false">IF(OR(G30="",I30=""),"",IF(OR(H30="g",H30="ml"),I30/G30*100,I30/G30))</f>
        <v>0.8</v>
      </c>
      <c r="M30" s="19" t="str">
        <f aca="false">IF(H30="","",IF(OR(H30="g",H30="ml"),"100 "&amp;H30,H30))</f>
        <v>100 ml</v>
      </c>
      <c r="N30" s="20" t="s">
        <v>42</v>
      </c>
      <c r="O30" s="10" t="s">
        <v>149</v>
      </c>
      <c r="P30" s="13" t="s">
        <v>150</v>
      </c>
    </row>
    <row r="31" customFormat="false" ht="23.25" hidden="false" customHeight="true" outlineLevel="0" collapsed="false">
      <c r="A31" s="21" t="s">
        <v>151</v>
      </c>
      <c r="B31" s="22" t="s">
        <v>152</v>
      </c>
      <c r="C31" s="23" t="n">
        <v>680</v>
      </c>
      <c r="D31" s="24" t="n">
        <v>1</v>
      </c>
      <c r="E31" s="25" t="s">
        <v>39</v>
      </c>
      <c r="F31" s="25" t="s">
        <v>153</v>
      </c>
      <c r="G31" s="26" t="n">
        <v>890</v>
      </c>
      <c r="H31" s="27" t="s">
        <v>148</v>
      </c>
      <c r="I31" s="28" t="n">
        <v>6</v>
      </c>
      <c r="J31" s="29" t="n">
        <f aca="false">IF(OR(G31="",I31=""),"",G31*IF(H31="g",1,IF(H31="kg",1000,SUMIFS('Unit conversions'!$C:$C,'Unit conversions'!$A:$A,$A31,'Unit conversions'!$B:$B,H31))))</f>
        <v>809.9</v>
      </c>
      <c r="K31" s="30" t="n">
        <f aca="false">IF(OR(J31="",J31=0),"",I31/J31*100)</f>
        <v>0.740832201506359</v>
      </c>
      <c r="L31" s="30" t="n">
        <f aca="false">IF(OR(G31="",I31=""),"",IF(OR(H31="g",H31="ml"),I31/G31*100,I31/G31))</f>
        <v>0.674157303370787</v>
      </c>
      <c r="M31" s="31" t="str">
        <f aca="false">IF(H31="","",IF(OR(H31="g",H31="ml"),"100 "&amp;H31,H31))</f>
        <v>100 ml</v>
      </c>
      <c r="N31" s="32" t="s">
        <v>49</v>
      </c>
      <c r="O31" s="22" t="s">
        <v>154</v>
      </c>
      <c r="P31" s="25" t="s">
        <v>155</v>
      </c>
    </row>
    <row r="32" customFormat="false" ht="15" hidden="false" customHeight="true" outlineLevel="0" collapsed="false">
      <c r="A32" s="42" t="s">
        <v>156</v>
      </c>
      <c r="B32" s="43" t="s">
        <v>157</v>
      </c>
      <c r="C32" s="44" t="n">
        <v>22</v>
      </c>
      <c r="D32" s="45" t="n">
        <v>3</v>
      </c>
      <c r="E32" s="43" t="s">
        <v>46</v>
      </c>
      <c r="F32" s="43"/>
      <c r="G32" s="46"/>
      <c r="H32" s="47"/>
      <c r="I32" s="48"/>
      <c r="J32" s="49" t="str">
        <f aca="false">IF(OR(G32="",I32=""),"",G32*IF(H32="g",1,IF(H32="kg",1000,SUMIFS('Unit conversions'!$C:$C,'Unit conversions'!$A:$A,$A32,'Unit conversions'!$B:$B,H32))))</f>
        <v/>
      </c>
      <c r="K32" s="48" t="str">
        <f aca="false">IF(OR(J32="",J32=0),"",I32/J32*100)</f>
        <v/>
      </c>
      <c r="L32" s="48" t="str">
        <f aca="false">IF(OR(G32="",I32=""),"",IF(OR(H32="g",H32="ml"),I32/G32*100,I32/G32))</f>
        <v/>
      </c>
      <c r="M32" s="47" t="str">
        <f aca="false">IF(H32="","",IF(OR(H32="g",H32="ml"),"100 "&amp;H32,H32))</f>
        <v/>
      </c>
      <c r="N32" s="50" t="s">
        <v>102</v>
      </c>
      <c r="O32" s="43"/>
      <c r="P32" s="43" t="s">
        <v>79</v>
      </c>
    </row>
    <row r="33" customFormat="false" ht="15" hidden="false" customHeight="true" outlineLevel="0" collapsed="false">
      <c r="A33" s="33" t="s">
        <v>158</v>
      </c>
      <c r="B33" s="34"/>
      <c r="C33" s="35" t="n">
        <v>380</v>
      </c>
      <c r="D33" s="36" t="n">
        <v>8</v>
      </c>
      <c r="E33" s="34" t="s">
        <v>46</v>
      </c>
      <c r="F33" s="34"/>
      <c r="G33" s="37"/>
      <c r="H33" s="38"/>
      <c r="I33" s="39"/>
      <c r="J33" s="40" t="str">
        <f aca="false">IF(OR(G33="",I33=""),"",G33*IF(H33="g",1,IF(H33="kg",1000,SUMIFS('Unit conversions'!$C:$C,'Unit conversions'!$A:$A,$A33,'Unit conversions'!$B:$B,H33))))</f>
        <v/>
      </c>
      <c r="K33" s="39" t="str">
        <f aca="false">IF(OR(J33="",J33=0),"",I33/J33*100)</f>
        <v/>
      </c>
      <c r="L33" s="39" t="str">
        <f aca="false">IF(OR(G33="",I33=""),"",IF(OR(H33="g",H33="ml"),I33/G33*100,I33/G33))</f>
        <v/>
      </c>
      <c r="M33" s="38" t="str">
        <f aca="false">IF(H33="","",IF(OR(H33="g",H33="ml"),"100 "&amp;H33,H33))</f>
        <v/>
      </c>
      <c r="N33" s="41" t="s">
        <v>102</v>
      </c>
      <c r="O33" s="34"/>
      <c r="P33" s="34" t="s">
        <v>159</v>
      </c>
    </row>
    <row r="34" customFormat="false" ht="23.25" hidden="false" customHeight="true" outlineLevel="0" collapsed="false">
      <c r="A34" s="9" t="s">
        <v>160</v>
      </c>
      <c r="B34" s="10" t="s">
        <v>161</v>
      </c>
      <c r="C34" s="11" t="n">
        <v>30</v>
      </c>
      <c r="D34" s="12" t="n">
        <v>1</v>
      </c>
      <c r="E34" s="13" t="s">
        <v>46</v>
      </c>
      <c r="F34" s="13" t="s">
        <v>162</v>
      </c>
      <c r="G34" s="14" t="n">
        <v>1360</v>
      </c>
      <c r="H34" s="15" t="s">
        <v>41</v>
      </c>
      <c r="I34" s="16" t="n">
        <v>3.79</v>
      </c>
      <c r="J34" s="17" t="n">
        <f aca="false">IF(OR(G34="",I34=""),"",G34*IF(H34="g",1,IF(H34="kg",1000,SUMIFS('Unit conversions'!$C:$C,'Unit conversions'!$A:$A,$A34,'Unit conversions'!$B:$B,H34))))</f>
        <v>1360</v>
      </c>
      <c r="K34" s="18" t="n">
        <f aca="false">IF(OR(J34="",J34=0),"",I34/J34*100)</f>
        <v>0.278676470588235</v>
      </c>
      <c r="L34" s="18" t="n">
        <f aca="false">IF(OR(G34="",I34=""),"",IF(OR(H34="g",H34="ml"),I34/G34*100,I34/G34))</f>
        <v>0.278676470588235</v>
      </c>
      <c r="M34" s="19" t="str">
        <f aca="false">IF(H34="","",IF(OR(H34="g",H34="ml"),"100 "&amp;H34,H34))</f>
        <v>100 g</v>
      </c>
      <c r="N34" s="20" t="s">
        <v>49</v>
      </c>
      <c r="O34" s="10" t="s">
        <v>50</v>
      </c>
      <c r="P34" s="13" t="s">
        <v>163</v>
      </c>
    </row>
    <row r="35" customFormat="false" ht="23.25" hidden="false" customHeight="true" outlineLevel="0" collapsed="false">
      <c r="A35" s="21" t="s">
        <v>164</v>
      </c>
      <c r="B35" s="22"/>
      <c r="C35" s="23" t="n">
        <v>350</v>
      </c>
      <c r="D35" s="24" t="n">
        <v>13</v>
      </c>
      <c r="E35" s="25" t="s">
        <v>46</v>
      </c>
      <c r="F35" s="25" t="s">
        <v>165</v>
      </c>
      <c r="G35" s="26" t="n">
        <v>900</v>
      </c>
      <c r="H35" s="27" t="s">
        <v>41</v>
      </c>
      <c r="I35" s="28" t="n">
        <v>2.5</v>
      </c>
      <c r="J35" s="29" t="n">
        <f aca="false">IF(OR(G35="",I35=""),"",G35*IF(H35="g",1,IF(H35="kg",1000,SUMIFS('Unit conversions'!$C:$C,'Unit conversions'!$A:$A,$A35,'Unit conversions'!$B:$B,H35))))</f>
        <v>900</v>
      </c>
      <c r="K35" s="30" t="n">
        <f aca="false">IF(OR(J35="",J35=0),"",I35/J35*100)</f>
        <v>0.277777777777778</v>
      </c>
      <c r="L35" s="30" t="n">
        <f aca="false">IF(OR(G35="",I35=""),"",IF(OR(H35="g",H35="ml"),I35/G35*100,I35/G35))</f>
        <v>0.277777777777778</v>
      </c>
      <c r="M35" s="31" t="str">
        <f aca="false">IF(H35="","",IF(OR(H35="g",H35="ml"),"100 "&amp;H35,H35))</f>
        <v>100 g</v>
      </c>
      <c r="N35" s="32" t="s">
        <v>49</v>
      </c>
      <c r="O35" s="22" t="s">
        <v>124</v>
      </c>
      <c r="P35" s="25" t="s">
        <v>166</v>
      </c>
    </row>
    <row r="36" customFormat="false" ht="23.25" hidden="false" customHeight="true" outlineLevel="0" collapsed="false">
      <c r="A36" s="9" t="s">
        <v>167</v>
      </c>
      <c r="B36" s="10"/>
      <c r="C36" s="11" t="n">
        <v>605</v>
      </c>
      <c r="D36" s="12" t="n">
        <v>27</v>
      </c>
      <c r="E36" s="13" t="s">
        <v>46</v>
      </c>
      <c r="F36" s="13" t="s">
        <v>168</v>
      </c>
      <c r="G36" s="14" t="n">
        <v>1000</v>
      </c>
      <c r="H36" s="15" t="s">
        <v>41</v>
      </c>
      <c r="I36" s="16" t="n">
        <v>7.5</v>
      </c>
      <c r="J36" s="17" t="n">
        <f aca="false">IF(OR(G36="",I36=""),"",G36*IF(H36="g",1,IF(H36="kg",1000,SUMIFS('Unit conversions'!$C:$C,'Unit conversions'!$A:$A,$A36,'Unit conversions'!$B:$B,H36))))</f>
        <v>1000</v>
      </c>
      <c r="K36" s="18" t="n">
        <f aca="false">IF(OR(J36="",J36=0),"",I36/J36*100)</f>
        <v>0.75</v>
      </c>
      <c r="L36" s="18" t="n">
        <f aca="false">IF(OR(G36="",I36=""),"",IF(OR(H36="g",H36="ml"),I36/G36*100,I36/G36))</f>
        <v>0.75</v>
      </c>
      <c r="M36" s="19" t="str">
        <f aca="false">IF(H36="","",IF(OR(H36="g",H36="ml"),"100 "&amp;H36,H36))</f>
        <v>100 g</v>
      </c>
      <c r="N36" s="20" t="s">
        <v>49</v>
      </c>
      <c r="O36" s="10" t="s">
        <v>169</v>
      </c>
      <c r="P36" s="13" t="s">
        <v>170</v>
      </c>
    </row>
    <row r="37" customFormat="false" ht="15" hidden="false" customHeight="true" outlineLevel="0" collapsed="false">
      <c r="A37" s="33" t="s">
        <v>171</v>
      </c>
      <c r="B37" s="34" t="s">
        <v>172</v>
      </c>
      <c r="C37" s="35" t="n">
        <v>0</v>
      </c>
      <c r="D37" s="36" t="n">
        <v>0</v>
      </c>
      <c r="E37" s="34" t="s">
        <v>46</v>
      </c>
      <c r="F37" s="34"/>
      <c r="G37" s="37"/>
      <c r="H37" s="38"/>
      <c r="I37" s="39"/>
      <c r="J37" s="40" t="str">
        <f aca="false">IF(OR(G37="",I37=""),"",G37*IF(H37="g",1,IF(H37="kg",1000,SUMIFS('Unit conversions'!$C:$C,'Unit conversions'!$A:$A,$A37,'Unit conversions'!$B:$B,H37))))</f>
        <v/>
      </c>
      <c r="K37" s="39" t="str">
        <f aca="false">IF(OR(J37="",J37=0),"",I37/J37*100)</f>
        <v/>
      </c>
      <c r="L37" s="39" t="str">
        <f aca="false">IF(OR(G37="",I37=""),"",IF(OR(H37="g",H37="ml"),I37/G37*100,I37/G37))</f>
        <v/>
      </c>
      <c r="M37" s="38" t="str">
        <f aca="false">IF(H37="","",IF(OR(H37="g",H37="ml"),"100 "&amp;H37,H37))</f>
        <v/>
      </c>
      <c r="N37" s="41" t="s">
        <v>102</v>
      </c>
      <c r="O37" s="34"/>
      <c r="P37" s="34" t="s">
        <v>173</v>
      </c>
    </row>
    <row r="38" customFormat="false" ht="23.25" hidden="false" customHeight="true" outlineLevel="0" collapsed="false">
      <c r="A38" s="9" t="s">
        <v>174</v>
      </c>
      <c r="B38" s="10" t="s">
        <v>175</v>
      </c>
      <c r="C38" s="11" t="n">
        <v>77</v>
      </c>
      <c r="D38" s="12" t="n">
        <v>2</v>
      </c>
      <c r="E38" s="13" t="s">
        <v>39</v>
      </c>
      <c r="F38" s="13" t="s">
        <v>176</v>
      </c>
      <c r="G38" s="14" t="n">
        <v>680</v>
      </c>
      <c r="H38" s="15" t="s">
        <v>41</v>
      </c>
      <c r="I38" s="16" t="n">
        <v>5</v>
      </c>
      <c r="J38" s="17" t="n">
        <f aca="false">IF(OR(G38="",I38=""),"",G38*IF(H38="g",1,IF(H38="kg",1000,SUMIFS('Unit conversions'!$C:$C,'Unit conversions'!$A:$A,$A38,'Unit conversions'!$B:$B,H38))))</f>
        <v>680</v>
      </c>
      <c r="K38" s="18" t="n">
        <f aca="false">IF(OR(J38="",J38=0),"",I38/J38*100)</f>
        <v>0.735294117647059</v>
      </c>
      <c r="L38" s="18" t="n">
        <f aca="false">IF(OR(G38="",I38=""),"",IF(OR(H38="g",H38="ml"),I38/G38*100,I38/G38))</f>
        <v>0.735294117647059</v>
      </c>
      <c r="M38" s="19" t="str">
        <f aca="false">IF(H38="","",IF(OR(H38="g",H38="ml"),"100 "&amp;H38,H38))</f>
        <v>100 g</v>
      </c>
      <c r="N38" s="20" t="s">
        <v>64</v>
      </c>
      <c r="O38" s="10" t="s">
        <v>177</v>
      </c>
      <c r="P38" s="13" t="s">
        <v>178</v>
      </c>
    </row>
    <row r="39" customFormat="false" ht="23.25" hidden="false" customHeight="true" outlineLevel="0" collapsed="false">
      <c r="A39" s="21" t="s">
        <v>179</v>
      </c>
      <c r="B39" s="22"/>
      <c r="C39" s="23" t="n">
        <v>400</v>
      </c>
      <c r="D39" s="24" t="n">
        <v>80</v>
      </c>
      <c r="E39" s="25" t="s">
        <v>180</v>
      </c>
      <c r="F39" s="25" t="s">
        <v>181</v>
      </c>
      <c r="G39" s="26" t="n">
        <v>908</v>
      </c>
      <c r="H39" s="27" t="s">
        <v>41</v>
      </c>
      <c r="I39" s="51" t="n">
        <v>45</v>
      </c>
      <c r="J39" s="29" t="n">
        <f aca="false">IF(OR(G39="",I39=""),"",G39*IF(H39="g",1,IF(H39="kg",1000,SUMIFS('Unit conversions'!$C:$C,'Unit conversions'!$A:$A,$A39,'Unit conversions'!$B:$B,H39))))</f>
        <v>908</v>
      </c>
      <c r="K39" s="30" t="n">
        <f aca="false">IF(OR(J39="",J39=0),"",I39/J39*100)</f>
        <v>4.95594713656388</v>
      </c>
      <c r="L39" s="30" t="n">
        <f aca="false">IF(OR(G39="",I39=""),"",IF(OR(H39="g",H39="ml"),I39/G39*100,I39/G39))</f>
        <v>4.95594713656388</v>
      </c>
      <c r="M39" s="31" t="str">
        <f aca="false">IF(H39="","",IF(OR(H39="g",H39="ml"),"100 "&amp;H39,H39))</f>
        <v>100 g</v>
      </c>
      <c r="N39" s="52" t="s">
        <v>182</v>
      </c>
      <c r="O39" s="22" t="s">
        <v>183</v>
      </c>
      <c r="P39" s="25" t="s">
        <v>184</v>
      </c>
    </row>
    <row r="40" customFormat="false" ht="23.25" hidden="false" customHeight="true" outlineLevel="0" collapsed="false">
      <c r="A40" s="9" t="s">
        <v>185</v>
      </c>
      <c r="B40" s="10"/>
      <c r="C40" s="11" t="n">
        <v>345</v>
      </c>
      <c r="D40" s="12" t="n">
        <v>8.5</v>
      </c>
      <c r="E40" s="13" t="s">
        <v>46</v>
      </c>
      <c r="F40" s="13" t="s">
        <v>186</v>
      </c>
      <c r="G40" s="14" t="n">
        <v>2000</v>
      </c>
      <c r="H40" s="15" t="s">
        <v>41</v>
      </c>
      <c r="I40" s="16" t="n">
        <v>7.99</v>
      </c>
      <c r="J40" s="17" t="n">
        <f aca="false">IF(OR(G40="",I40=""),"",G40*IF(H40="g",1,IF(H40="kg",1000,SUMIFS('Unit conversions'!$C:$C,'Unit conversions'!$A:$A,$A40,'Unit conversions'!$B:$B,H40))))</f>
        <v>2000</v>
      </c>
      <c r="K40" s="18" t="n">
        <f aca="false">IF(OR(J40="",J40=0),"",I40/J40*100)</f>
        <v>0.3995</v>
      </c>
      <c r="L40" s="18" t="n">
        <f aca="false">IF(OR(G40="",I40=""),"",IF(OR(H40="g",H40="ml"),I40/G40*100,I40/G40))</f>
        <v>0.3995</v>
      </c>
      <c r="M40" s="19" t="str">
        <f aca="false">IF(H40="","",IF(OR(H40="g",H40="ml"),"100 "&amp;H40,H40))</f>
        <v>100 g</v>
      </c>
      <c r="N40" s="20" t="s">
        <v>49</v>
      </c>
      <c r="O40" s="10" t="s">
        <v>187</v>
      </c>
      <c r="P40" s="13" t="s">
        <v>166</v>
      </c>
    </row>
    <row r="41" customFormat="false" ht="23.25" hidden="false" customHeight="true" outlineLevel="0" collapsed="false">
      <c r="A41" s="21" t="s">
        <v>188</v>
      </c>
      <c r="B41" s="22"/>
      <c r="C41" s="23" t="n">
        <v>40</v>
      </c>
      <c r="D41" s="24" t="n">
        <v>0</v>
      </c>
      <c r="E41" s="25" t="s">
        <v>189</v>
      </c>
      <c r="F41" s="25" t="s">
        <v>190</v>
      </c>
      <c r="G41" s="26" t="n">
        <v>500</v>
      </c>
      <c r="H41" s="27" t="s">
        <v>148</v>
      </c>
      <c r="I41" s="28" t="n">
        <v>5</v>
      </c>
      <c r="J41" s="29" t="n">
        <f aca="false">IF(OR(G41="",I41=""),"",G41*IF(H41="g",1,IF(H41="kg",1000,SUMIFS('Unit conversions'!$C:$C,'Unit conversions'!$A:$A,$A41,'Unit conversions'!$B:$B,H41))))</f>
        <v>500</v>
      </c>
      <c r="K41" s="30" t="n">
        <f aca="false">IF(OR(J41="",J41=0),"",I41/J41*100)</f>
        <v>1</v>
      </c>
      <c r="L41" s="30" t="n">
        <f aca="false">IF(OR(G41="",I41=""),"",IF(OR(H41="g",H41="ml"),I41/G41*100,I41/G41))</f>
        <v>1</v>
      </c>
      <c r="M41" s="31" t="str">
        <f aca="false">IF(H41="","",IF(OR(H41="g",H41="ml"),"100 "&amp;H41,H41))</f>
        <v>100 ml</v>
      </c>
      <c r="N41" s="32" t="s">
        <v>42</v>
      </c>
      <c r="O41" s="22" t="s">
        <v>191</v>
      </c>
      <c r="P41" s="25" t="s">
        <v>192</v>
      </c>
    </row>
    <row r="42" customFormat="false" ht="23.25" hidden="false" customHeight="true" outlineLevel="0" collapsed="false">
      <c r="A42" s="9" t="s">
        <v>193</v>
      </c>
      <c r="B42" s="10" t="s">
        <v>194</v>
      </c>
      <c r="C42" s="11" t="n">
        <v>333</v>
      </c>
      <c r="D42" s="12" t="n">
        <v>11</v>
      </c>
      <c r="E42" s="13" t="s">
        <v>46</v>
      </c>
      <c r="F42" s="13" t="s">
        <v>195</v>
      </c>
      <c r="G42" s="14" t="n">
        <v>1000</v>
      </c>
      <c r="H42" s="15" t="s">
        <v>41</v>
      </c>
      <c r="I42" s="16" t="n">
        <v>4.99</v>
      </c>
      <c r="J42" s="17" t="n">
        <f aca="false">IF(OR(G42="",I42=""),"",G42*IF(H42="g",1,IF(H42="kg",1000,SUMIFS('Unit conversions'!$C:$C,'Unit conversions'!$A:$A,$A42,'Unit conversions'!$B:$B,H42))))</f>
        <v>1000</v>
      </c>
      <c r="K42" s="18" t="n">
        <f aca="false">IF(OR(J42="",J42=0),"",I42/J42*100)</f>
        <v>0.499</v>
      </c>
      <c r="L42" s="18" t="n">
        <f aca="false">IF(OR(G42="",I42=""),"",IF(OR(H42="g",H42="ml"),I42/G42*100,I42/G42))</f>
        <v>0.499</v>
      </c>
      <c r="M42" s="19" t="str">
        <f aca="false">IF(H42="","",IF(OR(H42="g",H42="ml"),"100 "&amp;H42,H42))</f>
        <v>100 g</v>
      </c>
      <c r="N42" s="20" t="s">
        <v>49</v>
      </c>
      <c r="O42" s="10" t="s">
        <v>196</v>
      </c>
      <c r="P42" s="13"/>
    </row>
    <row r="43" customFormat="false" ht="23.25" hidden="false" customHeight="true" outlineLevel="0" collapsed="false">
      <c r="A43" s="21" t="s">
        <v>197</v>
      </c>
      <c r="B43" s="22"/>
      <c r="C43" s="23" t="n">
        <v>884</v>
      </c>
      <c r="D43" s="24" t="n">
        <v>0</v>
      </c>
      <c r="E43" s="25" t="s">
        <v>39</v>
      </c>
      <c r="F43" s="25" t="s">
        <v>198</v>
      </c>
      <c r="G43" s="26" t="n">
        <v>370</v>
      </c>
      <c r="H43" s="27" t="s">
        <v>148</v>
      </c>
      <c r="I43" s="28" t="n">
        <v>6.29</v>
      </c>
      <c r="J43" s="29" t="n">
        <f aca="false">IF(OR(G43="",I43=""),"",G43*IF(H43="g",1,IF(H43="kg",1000,SUMIFS('Unit conversions'!$C:$C,'Unit conversions'!$A:$A,$A43,'Unit conversions'!$B:$B,H43))))</f>
        <v>340.4</v>
      </c>
      <c r="K43" s="30" t="n">
        <f aca="false">IF(OR(J43="",J43=0),"",I43/J43*100)</f>
        <v>1.84782608695652</v>
      </c>
      <c r="L43" s="30" t="n">
        <f aca="false">IF(OR(G43="",I43=""),"",IF(OR(H43="g",H43="ml"),I43/G43*100,I43/G43))</f>
        <v>1.7</v>
      </c>
      <c r="M43" s="31" t="str">
        <f aca="false">IF(H43="","",IF(OR(H43="g",H43="ml"),"100 "&amp;H43,H43))</f>
        <v>100 ml</v>
      </c>
      <c r="N43" s="32" t="s">
        <v>49</v>
      </c>
      <c r="O43" s="22" t="s">
        <v>199</v>
      </c>
      <c r="P43" s="25" t="s">
        <v>200</v>
      </c>
    </row>
    <row r="44" customFormat="false" ht="23.25" hidden="false" customHeight="true" outlineLevel="0" collapsed="false">
      <c r="A44" s="9" t="s">
        <v>201</v>
      </c>
      <c r="B44" s="10"/>
      <c r="C44" s="11" t="n">
        <v>573</v>
      </c>
      <c r="D44" s="12" t="n">
        <v>17.7</v>
      </c>
      <c r="E44" s="13" t="s">
        <v>39</v>
      </c>
      <c r="F44" s="13" t="s">
        <v>202</v>
      </c>
      <c r="G44" s="14" t="n">
        <v>150</v>
      </c>
      <c r="H44" s="15" t="s">
        <v>41</v>
      </c>
      <c r="I44" s="16" t="n">
        <v>3.5</v>
      </c>
      <c r="J44" s="17" t="n">
        <f aca="false">IF(OR(G44="",I44=""),"",G44*IF(H44="g",1,IF(H44="kg",1000,SUMIFS('Unit conversions'!$C:$C,'Unit conversions'!$A:$A,$A44,'Unit conversions'!$B:$B,H44))))</f>
        <v>150</v>
      </c>
      <c r="K44" s="18" t="n">
        <f aca="false">IF(OR(J44="",J44=0),"",I44/J44*100)</f>
        <v>2.33333333333333</v>
      </c>
      <c r="L44" s="18" t="n">
        <f aca="false">IF(OR(G44="",I44=""),"",IF(OR(H44="g",H44="ml"),I44/G44*100,I44/G44))</f>
        <v>2.33333333333333</v>
      </c>
      <c r="M44" s="19" t="str">
        <f aca="false">IF(H44="","",IF(OR(H44="g",H44="ml"),"100 "&amp;H44,H44))</f>
        <v>100 g</v>
      </c>
      <c r="N44" s="20" t="s">
        <v>49</v>
      </c>
      <c r="O44" s="10" t="s">
        <v>203</v>
      </c>
      <c r="P44" s="13" t="s">
        <v>204</v>
      </c>
    </row>
    <row r="45" customFormat="false" ht="23.25" hidden="false" customHeight="true" outlineLevel="0" collapsed="false">
      <c r="A45" s="21" t="s">
        <v>205</v>
      </c>
      <c r="B45" s="22"/>
      <c r="C45" s="23" t="n">
        <v>289</v>
      </c>
      <c r="D45" s="24" t="n">
        <v>3.4</v>
      </c>
      <c r="E45" s="25" t="s">
        <v>46</v>
      </c>
      <c r="F45" s="25" t="s">
        <v>206</v>
      </c>
      <c r="G45" s="26" t="n">
        <v>450</v>
      </c>
      <c r="H45" s="27" t="s">
        <v>148</v>
      </c>
      <c r="I45" s="28" t="n">
        <v>3</v>
      </c>
      <c r="J45" s="29" t="n">
        <f aca="false">IF(OR(G45="",I45=""),"",G45*IF(H45="g",1,IF(H45="kg",1000,SUMIFS('Unit conversions'!$C:$C,'Unit conversions'!$A:$A,$A45,'Unit conversions'!$B:$B,H45))))</f>
        <v>495</v>
      </c>
      <c r="K45" s="30" t="n">
        <f aca="false">IF(OR(J45="",J45=0),"",I45/J45*100)</f>
        <v>0.606060606060606</v>
      </c>
      <c r="L45" s="30" t="n">
        <f aca="false">IF(OR(G45="",I45=""),"",IF(OR(H45="g",H45="ml"),I45/G45*100,I45/G45))</f>
        <v>0.666666666666667</v>
      </c>
      <c r="M45" s="31" t="str">
        <f aca="false">IF(H45="","",IF(OR(H45="g",H45="ml"),"100 "&amp;H45,H45))</f>
        <v>100 ml</v>
      </c>
      <c r="N45" s="32" t="s">
        <v>49</v>
      </c>
      <c r="O45" s="22" t="s">
        <v>207</v>
      </c>
      <c r="P45" s="25" t="s">
        <v>208</v>
      </c>
    </row>
    <row r="46" customFormat="false" ht="23.25" hidden="false" customHeight="true" outlineLevel="0" collapsed="false">
      <c r="A46" s="9" t="s">
        <v>209</v>
      </c>
      <c r="B46" s="10" t="s">
        <v>210</v>
      </c>
      <c r="C46" s="11" t="n">
        <v>387</v>
      </c>
      <c r="D46" s="12" t="n">
        <v>0</v>
      </c>
      <c r="E46" s="13" t="s">
        <v>46</v>
      </c>
      <c r="F46" s="13" t="s">
        <v>211</v>
      </c>
      <c r="G46" s="14" t="n">
        <v>2000</v>
      </c>
      <c r="H46" s="15" t="s">
        <v>41</v>
      </c>
      <c r="I46" s="16" t="n">
        <v>3.49</v>
      </c>
      <c r="J46" s="17" t="n">
        <f aca="false">IF(OR(G46="",I46=""),"",G46*IF(H46="g",1,IF(H46="kg",1000,SUMIFS('Unit conversions'!$C:$C,'Unit conversions'!$A:$A,$A46,'Unit conversions'!$B:$B,H46))))</f>
        <v>2000</v>
      </c>
      <c r="K46" s="18" t="n">
        <f aca="false">IF(OR(J46="",J46=0),"",I46/J46*100)</f>
        <v>0.1745</v>
      </c>
      <c r="L46" s="18" t="n">
        <f aca="false">IF(OR(G46="",I46=""),"",IF(OR(H46="g",H46="ml"),I46/G46*100,I46/G46))</f>
        <v>0.1745</v>
      </c>
      <c r="M46" s="19" t="str">
        <f aca="false">IF(H46="","",IF(OR(H46="g",H46="ml"),"100 "&amp;H46,H46))</f>
        <v>100 g</v>
      </c>
      <c r="N46" s="20" t="s">
        <v>49</v>
      </c>
      <c r="O46" s="10" t="s">
        <v>212</v>
      </c>
      <c r="P46" s="13"/>
    </row>
    <row r="47" customFormat="false" ht="23.25" hidden="false" customHeight="true" outlineLevel="0" collapsed="false">
      <c r="A47" s="21" t="s">
        <v>213</v>
      </c>
      <c r="B47" s="22"/>
      <c r="C47" s="23" t="n">
        <v>290</v>
      </c>
      <c r="D47" s="24" t="n">
        <v>8</v>
      </c>
      <c r="E47" s="25" t="s">
        <v>68</v>
      </c>
      <c r="F47" s="25" t="s">
        <v>214</v>
      </c>
      <c r="G47" s="26" t="n">
        <v>1</v>
      </c>
      <c r="H47" s="27" t="s">
        <v>215</v>
      </c>
      <c r="I47" s="28" t="n">
        <v>2.19</v>
      </c>
      <c r="J47" s="29" t="n">
        <f aca="false">IF(OR(G47="",I47=""),"",G47*IF(H47="g",1,IF(H47="kg",1000,SUMIFS('Unit conversions'!$C:$C,'Unit conversions'!$A:$A,$A47,'Unit conversions'!$B:$B,H47))))</f>
        <v>28</v>
      </c>
      <c r="K47" s="30" t="n">
        <f aca="false">IF(OR(J47="",J47=0),"",I47/J47*100)</f>
        <v>7.82142857142857</v>
      </c>
      <c r="L47" s="30" t="n">
        <f aca="false">IF(OR(G47="",I47=""),"",IF(OR(H47="g",H47="ml"),I47/G47*100,I47/G47))</f>
        <v>2.19</v>
      </c>
      <c r="M47" s="31" t="str">
        <f aca="false">IF(H47="","",IF(OR(H47="g",H47="ml"),"100 "&amp;H47,H47))</f>
        <v>pack</v>
      </c>
      <c r="N47" s="32" t="s">
        <v>49</v>
      </c>
      <c r="O47" s="22" t="s">
        <v>216</v>
      </c>
      <c r="P47" s="25" t="s">
        <v>217</v>
      </c>
    </row>
    <row r="48" customFormat="false" ht="23.25" hidden="false" customHeight="true" outlineLevel="0" collapsed="false">
      <c r="A48" s="9" t="s">
        <v>218</v>
      </c>
      <c r="B48" s="10" t="s">
        <v>219</v>
      </c>
      <c r="C48" s="11" t="n">
        <v>18</v>
      </c>
      <c r="D48" s="12" t="n">
        <v>0.9</v>
      </c>
      <c r="E48" s="13" t="s">
        <v>46</v>
      </c>
      <c r="F48" s="13" t="s">
        <v>220</v>
      </c>
      <c r="G48" s="14" t="n">
        <v>100</v>
      </c>
      <c r="H48" s="15" t="s">
        <v>41</v>
      </c>
      <c r="I48" s="16" t="n">
        <v>0.88</v>
      </c>
      <c r="J48" s="17" t="n">
        <f aca="false">IF(OR(G48="",I48=""),"",G48*IF(H48="g",1,IF(H48="kg",1000,SUMIFS('Unit conversions'!$C:$C,'Unit conversions'!$A:$A,$A48,'Unit conversions'!$B:$B,H48))))</f>
        <v>100</v>
      </c>
      <c r="K48" s="18" t="n">
        <f aca="false">IF(OR(J48="",J48=0),"",I48/J48*100)</f>
        <v>0.88</v>
      </c>
      <c r="L48" s="18" t="n">
        <f aca="false">IF(OR(G48="",I48=""),"",IF(OR(H48="g",H48="ml"),I48/G48*100,I48/G48))</f>
        <v>0.88</v>
      </c>
      <c r="M48" s="19" t="str">
        <f aca="false">IF(H48="","",IF(OR(H48="g",H48="ml"),"100 "&amp;H48,H48))</f>
        <v>100 g</v>
      </c>
      <c r="N48" s="20" t="s">
        <v>49</v>
      </c>
      <c r="O48" s="10" t="s">
        <v>87</v>
      </c>
      <c r="P48" s="13" t="s">
        <v>221</v>
      </c>
    </row>
    <row r="49" customFormat="false" ht="23.25" hidden="false" customHeight="true" outlineLevel="0" collapsed="false">
      <c r="A49" s="21" t="s">
        <v>222</v>
      </c>
      <c r="B49" s="22"/>
      <c r="C49" s="23" t="n">
        <v>180</v>
      </c>
      <c r="D49" s="24" t="n">
        <v>29</v>
      </c>
      <c r="E49" s="25" t="s">
        <v>46</v>
      </c>
      <c r="F49" s="25" t="s">
        <v>223</v>
      </c>
      <c r="G49" s="26" t="n">
        <v>170</v>
      </c>
      <c r="H49" s="27" t="s">
        <v>41</v>
      </c>
      <c r="I49" s="28" t="n">
        <v>1.89</v>
      </c>
      <c r="J49" s="29" t="n">
        <f aca="false">IF(OR(G49="",I49=""),"",G49*IF(H49="g",1,IF(H49="kg",1000,SUMIFS('Unit conversions'!$C:$C,'Unit conversions'!$A:$A,$A49,'Unit conversions'!$B:$B,H49))))</f>
        <v>170</v>
      </c>
      <c r="K49" s="30" t="n">
        <f aca="false">IF(OR(J49="",J49=0),"",I49/J49*100)</f>
        <v>1.11176470588235</v>
      </c>
      <c r="L49" s="30" t="n">
        <f aca="false">IF(OR(G49="",I49=""),"",IF(OR(H49="g",H49="ml"),I49/G49*100,I49/G49))</f>
        <v>1.11176470588235</v>
      </c>
      <c r="M49" s="31" t="str">
        <f aca="false">IF(H49="","",IF(OR(H49="g",H49="ml"),"100 "&amp;H49,H49))</f>
        <v>100 g</v>
      </c>
      <c r="N49" s="32" t="s">
        <v>42</v>
      </c>
      <c r="O49" s="22" t="s">
        <v>224</v>
      </c>
      <c r="P49" s="25" t="s">
        <v>225</v>
      </c>
    </row>
    <row r="50" customFormat="false" ht="23.25" hidden="false" customHeight="true" outlineLevel="0" collapsed="false">
      <c r="A50" s="9" t="s">
        <v>226</v>
      </c>
      <c r="B50" s="10"/>
      <c r="C50" s="11" t="n">
        <v>288</v>
      </c>
      <c r="D50" s="12" t="n">
        <v>0.1</v>
      </c>
      <c r="E50" s="13" t="s">
        <v>39</v>
      </c>
      <c r="F50" s="13" t="s">
        <v>227</v>
      </c>
      <c r="G50" s="14" t="n">
        <v>46</v>
      </c>
      <c r="H50" s="15" t="s">
        <v>148</v>
      </c>
      <c r="I50" s="16" t="n">
        <v>10.99</v>
      </c>
      <c r="J50" s="17" t="n">
        <f aca="false">IF(OR(G50="",I50=""),"",G50*IF(H50="g",1,IF(H50="kg",1000,SUMIFS('Unit conversions'!$C:$C,'Unit conversions'!$A:$A,$A50,'Unit conversions'!$B:$B,H50))))</f>
        <v>41.4</v>
      </c>
      <c r="K50" s="18" t="n">
        <f aca="false">IF(OR(J50="",J50=0),"",I50/J50*100)</f>
        <v>26.5458937198068</v>
      </c>
      <c r="L50" s="18" t="n">
        <f aca="false">IF(OR(G50="",I50=""),"",IF(OR(H50="g",H50="ml"),I50/G50*100,I50/G50))</f>
        <v>23.8913043478261</v>
      </c>
      <c r="M50" s="19" t="str">
        <f aca="false">IF(H50="","",IF(OR(H50="g",H50="ml"),"100 "&amp;H50,H50))</f>
        <v>100 ml</v>
      </c>
      <c r="N50" s="20" t="s">
        <v>42</v>
      </c>
      <c r="O50" s="10" t="s">
        <v>228</v>
      </c>
      <c r="P50" s="13" t="s">
        <v>229</v>
      </c>
    </row>
    <row r="51" customFormat="false" ht="23.25" hidden="false" customHeight="true" outlineLevel="0" collapsed="false">
      <c r="A51" s="21" t="s">
        <v>230</v>
      </c>
      <c r="B51" s="22" t="s">
        <v>231</v>
      </c>
      <c r="C51" s="23" t="n">
        <v>884</v>
      </c>
      <c r="D51" s="24" t="n">
        <v>0</v>
      </c>
      <c r="E51" s="25" t="s">
        <v>39</v>
      </c>
      <c r="F51" s="25" t="s">
        <v>232</v>
      </c>
      <c r="G51" s="26" t="n">
        <v>3000</v>
      </c>
      <c r="H51" s="27" t="s">
        <v>148</v>
      </c>
      <c r="I51" s="28" t="n">
        <v>11</v>
      </c>
      <c r="J51" s="29" t="n">
        <f aca="false">IF(OR(G51="",I51=""),"",G51*IF(H51="g",1,IF(H51="kg",1000,SUMIFS('Unit conversions'!$C:$C,'Unit conversions'!$A:$A,$A51,'Unit conversions'!$B:$B,H51))))</f>
        <v>2760</v>
      </c>
      <c r="K51" s="30" t="n">
        <f aca="false">IF(OR(J51="",J51=0),"",I51/J51*100)</f>
        <v>0.398550724637681</v>
      </c>
      <c r="L51" s="30" t="n">
        <f aca="false">IF(OR(G51="",I51=""),"",IF(OR(H51="g",H51="ml"),I51/G51*100,I51/G51))</f>
        <v>0.366666666666667</v>
      </c>
      <c r="M51" s="31" t="str">
        <f aca="false">IF(H51="","",IF(OR(H51="g",H51="ml"),"100 "&amp;H51,H51))</f>
        <v>100 ml</v>
      </c>
      <c r="N51" s="32" t="s">
        <v>49</v>
      </c>
      <c r="O51" s="22" t="s">
        <v>199</v>
      </c>
      <c r="P51" s="25" t="s">
        <v>233</v>
      </c>
    </row>
    <row r="52" customFormat="false" ht="23.25" hidden="false" customHeight="true" outlineLevel="0" collapsed="false">
      <c r="A52" s="21" t="s">
        <v>234</v>
      </c>
      <c r="B52" s="22" t="s">
        <v>235</v>
      </c>
      <c r="C52" s="23" t="n">
        <v>31</v>
      </c>
      <c r="D52" s="24" t="n">
        <v>1</v>
      </c>
      <c r="E52" s="25" t="s">
        <v>236</v>
      </c>
      <c r="F52" s="25" t="s">
        <v>237</v>
      </c>
      <c r="G52" s="26" t="n">
        <v>100</v>
      </c>
      <c r="H52" s="27" t="s">
        <v>41</v>
      </c>
      <c r="I52" s="28" t="n">
        <v>0.88</v>
      </c>
      <c r="J52" s="29" t="n">
        <f aca="false">IF(OR(G52="",I52=""),"",G52*IF(H52="g",1,IF(H52="kg",1000,SUMIFS('Unit conversions'!$C:$C,'Unit conversions'!$A:$A,$A52,'Unit conversions'!$B:$B,H52))))</f>
        <v>100</v>
      </c>
      <c r="K52" s="30" t="n">
        <f aca="false">IF(OR(J52="",J52=0),"",I52/J52*100)</f>
        <v>0.88</v>
      </c>
      <c r="L52" s="30" t="n">
        <f aca="false">IF(OR(G52="",I52=""),"",IF(OR(H52="g",H52="ml"),I52/G52*100,I52/G52))</f>
        <v>0.88</v>
      </c>
      <c r="M52" s="31" t="str">
        <f aca="false">IF(H52="","",IF(OR(H52="g",H52="ml"),"100 "&amp;H52,H52))</f>
        <v>100 g</v>
      </c>
      <c r="N52" s="32" t="s">
        <v>49</v>
      </c>
      <c r="O52" s="22" t="s">
        <v>238</v>
      </c>
      <c r="P52" s="25" t="s">
        <v>239</v>
      </c>
    </row>
    <row r="53" customFormat="false" ht="23.25" hidden="false" customHeight="true" outlineLevel="0" collapsed="false">
      <c r="A53" s="21" t="s">
        <v>240</v>
      </c>
      <c r="B53" s="22" t="s">
        <v>241</v>
      </c>
      <c r="C53" s="23" t="n">
        <v>91</v>
      </c>
      <c r="D53" s="24" t="n">
        <v>6</v>
      </c>
      <c r="E53" s="25" t="s">
        <v>242</v>
      </c>
      <c r="F53" s="25" t="s">
        <v>243</v>
      </c>
      <c r="G53" s="26" t="n">
        <v>540</v>
      </c>
      <c r="H53" s="27" t="s">
        <v>148</v>
      </c>
      <c r="I53" s="28" t="n">
        <v>1.79</v>
      </c>
      <c r="J53" s="29" t="n">
        <f aca="false">IF(OR(G53="",I53=""),"",G53*IF(H53="g",1,IF(H53="kg",1000,SUMIFS('Unit conversions'!$C:$C,'Unit conversions'!$A:$A,$A53,'Unit conversions'!$B:$B,H53))))</f>
        <v>388.8</v>
      </c>
      <c r="K53" s="30" t="n">
        <f aca="false">IF(OR(J53="",J53=0),"",I53/J53*100)</f>
        <v>0.460390946502058</v>
      </c>
      <c r="L53" s="30" t="n">
        <f aca="false">IF(OR(G53="",I53=""),"",IF(OR(H53="g",H53="ml"),I53/G53*100,I53/G53))</f>
        <v>0.331481481481482</v>
      </c>
      <c r="M53" s="31" t="str">
        <f aca="false">IF(H53="","",IF(OR(H53="g",H53="ml"),"100 "&amp;H53,H53))</f>
        <v>100 ml</v>
      </c>
      <c r="N53" s="32" t="s">
        <v>49</v>
      </c>
      <c r="O53" s="22" t="s">
        <v>244</v>
      </c>
      <c r="P53" s="25" t="s">
        <v>245</v>
      </c>
    </row>
    <row r="54" customFormat="false" ht="23.25" hidden="false" customHeight="true" outlineLevel="0" collapsed="false">
      <c r="A54" s="21" t="s">
        <v>246</v>
      </c>
      <c r="B54" s="22" t="s">
        <v>247</v>
      </c>
      <c r="C54" s="23" t="n">
        <v>264</v>
      </c>
      <c r="D54" s="24" t="n">
        <v>14.2</v>
      </c>
      <c r="E54" s="25" t="s">
        <v>39</v>
      </c>
      <c r="F54" s="25" t="s">
        <v>248</v>
      </c>
      <c r="G54" s="26" t="n">
        <v>400</v>
      </c>
      <c r="H54" s="27" t="s">
        <v>41</v>
      </c>
      <c r="I54" s="28" t="n">
        <v>13.49</v>
      </c>
      <c r="J54" s="29" t="n">
        <f aca="false">IF(OR(G54="",I54=""),"",G54*IF(H54="g",1,IF(H54="kg",1000,SUMIFS('Unit conversions'!$C:$C,'Unit conversions'!$A:$A,$A54,'Unit conversions'!$B:$B,H54))))</f>
        <v>400</v>
      </c>
      <c r="K54" s="30" t="n">
        <f aca="false">IF(OR(J54="",J54=0),"",I54/J54*100)</f>
        <v>3.3725</v>
      </c>
      <c r="L54" s="30" t="n">
        <f aca="false">IF(OR(G54="",I54=""),"",IF(OR(H54="g",H54="ml"),I54/G54*100,I54/G54))</f>
        <v>3.3725</v>
      </c>
      <c r="M54" s="31" t="str">
        <f aca="false">IF(H54="","",IF(OR(H54="g",H54="ml"),"100 "&amp;H54,H54))</f>
        <v>100 g</v>
      </c>
      <c r="N54" s="32" t="s">
        <v>49</v>
      </c>
      <c r="O54" s="22" t="s">
        <v>249</v>
      </c>
      <c r="P54" s="25" t="s">
        <v>250</v>
      </c>
    </row>
    <row r="55" customFormat="false" ht="23.25" hidden="false" customHeight="true" outlineLevel="0" collapsed="false">
      <c r="A55" s="21" t="s">
        <v>251</v>
      </c>
      <c r="B55" s="22" t="s">
        <v>252</v>
      </c>
      <c r="C55" s="23" t="n">
        <v>40</v>
      </c>
      <c r="D55" s="24" t="n">
        <v>1.1</v>
      </c>
      <c r="E55" s="25" t="s">
        <v>39</v>
      </c>
      <c r="F55" s="25" t="s">
        <v>253</v>
      </c>
      <c r="G55" s="26" t="n">
        <v>1360</v>
      </c>
      <c r="H55" s="27" t="s">
        <v>41</v>
      </c>
      <c r="I55" s="28" t="n">
        <v>5</v>
      </c>
      <c r="J55" s="29" t="n">
        <f aca="false">IF(OR(G55="",I55=""),"",G55*IF(H55="g",1,IF(H55="kg",1000,SUMIFS('Unit conversions'!$C:$C,'Unit conversions'!$A:$A,$A55,'Unit conversions'!$B:$B,H55))))</f>
        <v>1360</v>
      </c>
      <c r="K55" s="30" t="n">
        <f aca="false">IF(OR(J55="",J55=0),"",I55/J55*100)</f>
        <v>0.367647058823529</v>
      </c>
      <c r="L55" s="30" t="n">
        <f aca="false">IF(OR(G55="",I55=""),"",IF(OR(H55="g",H55="ml"),I55/G55*100,I55/G55))</f>
        <v>0.367647058823529</v>
      </c>
      <c r="M55" s="31" t="str">
        <f aca="false">IF(H55="","",IF(OR(H55="g",H55="ml"),"100 "&amp;H55,H55))</f>
        <v>100 g</v>
      </c>
      <c r="N55" s="32" t="s">
        <v>49</v>
      </c>
      <c r="O55" s="22" t="s">
        <v>254</v>
      </c>
      <c r="P55" s="25" t="s">
        <v>255</v>
      </c>
    </row>
    <row r="56" customFormat="false" ht="23.25" hidden="false" customHeight="true" outlineLevel="0" collapsed="false">
      <c r="A56" s="21" t="s">
        <v>256</v>
      </c>
      <c r="B56" s="22"/>
      <c r="C56" s="23" t="n">
        <v>36</v>
      </c>
      <c r="D56" s="24" t="n">
        <v>1.5</v>
      </c>
      <c r="E56" s="25" t="s">
        <v>39</v>
      </c>
      <c r="F56" s="25" t="s">
        <v>257</v>
      </c>
      <c r="G56" s="26" t="n">
        <v>300</v>
      </c>
      <c r="H56" s="27" t="s">
        <v>148</v>
      </c>
      <c r="I56" s="28" t="n">
        <v>4.79</v>
      </c>
      <c r="J56" s="29" t="n">
        <f aca="false">IF(OR(G56="",I56=""),"",G56*IF(H56="g",1,IF(H56="kg",1000,SUMIFS('Unit conversions'!$C:$C,'Unit conversions'!$A:$A,$A56,'Unit conversions'!$B:$B,H56))))</f>
        <v>324</v>
      </c>
      <c r="K56" s="30" t="n">
        <f aca="false">IF(OR(J56="",J56=0),"",I56/J56*100)</f>
        <v>1.4783950617284</v>
      </c>
      <c r="L56" s="30" t="n">
        <f aca="false">IF(OR(G56="",I56=""),"",IF(OR(H56="g",H56="ml"),I56/G56*100,I56/G56))</f>
        <v>1.59666666666667</v>
      </c>
      <c r="M56" s="31" t="str">
        <f aca="false">IF(H56="","",IF(OR(H56="g",H56="ml"),"100 "&amp;H56,H56))</f>
        <v>100 ml</v>
      </c>
      <c r="N56" s="32" t="s">
        <v>49</v>
      </c>
      <c r="O56" s="22" t="s">
        <v>258</v>
      </c>
      <c r="P56" s="25" t="s">
        <v>259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48"/>
  </cols>
  <sheetData>
    <row r="1" customFormat="false" ht="15.75" hidden="false" customHeight="true" outlineLevel="0" collapsed="false">
      <c r="A1" s="53" t="s">
        <v>260</v>
      </c>
      <c r="B1" s="53"/>
      <c r="C1" s="53"/>
      <c r="D1" s="53"/>
    </row>
    <row r="2" customFormat="false" ht="15" hidden="false" customHeight="true" outlineLevel="0" collapsed="false">
      <c r="A2" s="54" t="s">
        <v>261</v>
      </c>
    </row>
    <row r="3" customFormat="false" ht="15" hidden="false" customHeight="true" outlineLevel="0" collapsed="false">
      <c r="A3" s="55" t="s">
        <v>21</v>
      </c>
      <c r="B3" s="55" t="s">
        <v>262</v>
      </c>
      <c r="C3" s="55" t="s">
        <v>263</v>
      </c>
      <c r="D3" s="55" t="s">
        <v>264</v>
      </c>
    </row>
    <row r="4" customFormat="false" ht="15" hidden="false" customHeight="true" outlineLevel="0" collapsed="false">
      <c r="A4" s="56" t="s">
        <v>45</v>
      </c>
      <c r="B4" s="57" t="s">
        <v>48</v>
      </c>
      <c r="C4" s="58" t="n">
        <v>100</v>
      </c>
      <c r="D4" s="56" t="s">
        <v>265</v>
      </c>
    </row>
    <row r="5" customFormat="false" ht="15" hidden="false" customHeight="true" outlineLevel="0" collapsed="false">
      <c r="A5" s="56" t="s">
        <v>52</v>
      </c>
      <c r="B5" s="57" t="s">
        <v>55</v>
      </c>
      <c r="C5" s="58" t="n">
        <v>8</v>
      </c>
      <c r="D5" s="56" t="s">
        <v>266</v>
      </c>
    </row>
    <row r="6" customFormat="false" ht="15" hidden="false" customHeight="true" outlineLevel="0" collapsed="false">
      <c r="A6" s="56" t="s">
        <v>58</v>
      </c>
      <c r="B6" s="57" t="s">
        <v>267</v>
      </c>
      <c r="C6" s="58" t="n">
        <v>13.8</v>
      </c>
      <c r="D6" s="56" t="s">
        <v>268</v>
      </c>
    </row>
    <row r="7" customFormat="false" ht="15" hidden="false" customHeight="true" outlineLevel="0" collapsed="false">
      <c r="A7" s="56" t="s">
        <v>67</v>
      </c>
      <c r="B7" s="57" t="s">
        <v>48</v>
      </c>
      <c r="C7" s="58" t="n">
        <v>10</v>
      </c>
      <c r="D7" s="56" t="s">
        <v>269</v>
      </c>
    </row>
    <row r="8" customFormat="false" ht="15" hidden="false" customHeight="true" outlineLevel="0" collapsed="false">
      <c r="A8" s="56" t="s">
        <v>100</v>
      </c>
      <c r="B8" s="57" t="s">
        <v>48</v>
      </c>
      <c r="C8" s="58" t="n">
        <v>400</v>
      </c>
      <c r="D8" s="56" t="s">
        <v>270</v>
      </c>
    </row>
    <row r="9" customFormat="false" ht="15" hidden="false" customHeight="true" outlineLevel="0" collapsed="false">
      <c r="A9" s="56" t="s">
        <v>111</v>
      </c>
      <c r="B9" s="57" t="s">
        <v>114</v>
      </c>
      <c r="C9" s="58" t="n">
        <v>50</v>
      </c>
      <c r="D9" s="56" t="s">
        <v>271</v>
      </c>
    </row>
    <row r="10" customFormat="false" ht="15" hidden="false" customHeight="true" outlineLevel="0" collapsed="false">
      <c r="A10" s="56" t="s">
        <v>118</v>
      </c>
      <c r="B10" s="57" t="s">
        <v>272</v>
      </c>
      <c r="C10" s="58" t="n">
        <v>5</v>
      </c>
      <c r="D10" s="56" t="s">
        <v>273</v>
      </c>
    </row>
    <row r="11" customFormat="false" ht="15" hidden="false" customHeight="true" outlineLevel="0" collapsed="false">
      <c r="A11" s="56" t="s">
        <v>136</v>
      </c>
      <c r="B11" s="57" t="s">
        <v>274</v>
      </c>
      <c r="C11" s="58" t="n">
        <v>45</v>
      </c>
      <c r="D11" s="56" t="s">
        <v>275</v>
      </c>
    </row>
    <row r="12" customFormat="false" ht="15" hidden="false" customHeight="true" outlineLevel="0" collapsed="false">
      <c r="A12" s="56" t="s">
        <v>138</v>
      </c>
      <c r="B12" s="57" t="s">
        <v>267</v>
      </c>
      <c r="C12" s="58" t="n">
        <v>21</v>
      </c>
      <c r="D12" s="56" t="s">
        <v>268</v>
      </c>
    </row>
    <row r="13" customFormat="false" ht="15" hidden="false" customHeight="true" outlineLevel="0" collapsed="false">
      <c r="A13" s="56" t="s">
        <v>138</v>
      </c>
      <c r="B13" s="57" t="s">
        <v>276</v>
      </c>
      <c r="C13" s="58" t="n">
        <v>7</v>
      </c>
      <c r="D13" s="56" t="s">
        <v>277</v>
      </c>
    </row>
    <row r="14" customFormat="false" ht="15" hidden="false" customHeight="true" outlineLevel="0" collapsed="false">
      <c r="A14" s="56" t="s">
        <v>142</v>
      </c>
      <c r="B14" s="57" t="s">
        <v>48</v>
      </c>
      <c r="C14" s="58" t="n">
        <v>25</v>
      </c>
      <c r="D14" s="56" t="s">
        <v>278</v>
      </c>
    </row>
    <row r="15" customFormat="false" ht="15" hidden="false" customHeight="true" outlineLevel="0" collapsed="false">
      <c r="A15" s="56" t="s">
        <v>146</v>
      </c>
      <c r="B15" s="57" t="s">
        <v>148</v>
      </c>
      <c r="C15" s="58" t="n">
        <v>1.15</v>
      </c>
      <c r="D15" s="56" t="s">
        <v>279</v>
      </c>
    </row>
    <row r="16" customFormat="false" ht="15" hidden="false" customHeight="true" outlineLevel="0" collapsed="false">
      <c r="A16" s="56" t="s">
        <v>146</v>
      </c>
      <c r="B16" s="57" t="s">
        <v>267</v>
      </c>
      <c r="C16" s="58" t="n">
        <v>17</v>
      </c>
      <c r="D16" s="56" t="s">
        <v>268</v>
      </c>
    </row>
    <row r="17" customFormat="false" ht="15" hidden="false" customHeight="true" outlineLevel="0" collapsed="false">
      <c r="A17" s="56" t="s">
        <v>151</v>
      </c>
      <c r="B17" s="57" t="s">
        <v>148</v>
      </c>
      <c r="C17" s="58" t="n">
        <v>0.91</v>
      </c>
      <c r="D17" s="56" t="s">
        <v>279</v>
      </c>
    </row>
    <row r="18" customFormat="false" ht="15" hidden="false" customHeight="true" outlineLevel="0" collapsed="false">
      <c r="A18" s="56" t="s">
        <v>158</v>
      </c>
      <c r="B18" s="57" t="s">
        <v>215</v>
      </c>
      <c r="C18" s="58" t="n">
        <v>90</v>
      </c>
      <c r="D18" s="56" t="s">
        <v>280</v>
      </c>
    </row>
    <row r="19" customFormat="false" ht="15" hidden="false" customHeight="true" outlineLevel="0" collapsed="false">
      <c r="A19" s="56" t="s">
        <v>160</v>
      </c>
      <c r="B19" s="57" t="s">
        <v>48</v>
      </c>
      <c r="C19" s="58" t="n">
        <v>150</v>
      </c>
      <c r="D19" s="56" t="s">
        <v>281</v>
      </c>
    </row>
    <row r="20" customFormat="false" ht="15" hidden="false" customHeight="true" outlineLevel="0" collapsed="false">
      <c r="A20" s="56" t="s">
        <v>179</v>
      </c>
      <c r="B20" s="57" t="s">
        <v>282</v>
      </c>
      <c r="C20" s="58" t="n">
        <v>30</v>
      </c>
      <c r="D20" s="56" t="s">
        <v>283</v>
      </c>
    </row>
    <row r="21" customFormat="false" ht="15" hidden="false" customHeight="true" outlineLevel="0" collapsed="false">
      <c r="A21" s="56" t="s">
        <v>188</v>
      </c>
      <c r="B21" s="57" t="s">
        <v>148</v>
      </c>
      <c r="C21" s="58" t="n">
        <v>1</v>
      </c>
      <c r="D21" s="56" t="s">
        <v>279</v>
      </c>
    </row>
    <row r="22" customFormat="false" ht="15" hidden="false" customHeight="true" outlineLevel="0" collapsed="false">
      <c r="A22" s="56" t="s">
        <v>188</v>
      </c>
      <c r="B22" s="57" t="s">
        <v>267</v>
      </c>
      <c r="C22" s="58" t="n">
        <v>15</v>
      </c>
      <c r="D22" s="56" t="s">
        <v>268</v>
      </c>
    </row>
    <row r="23" customFormat="false" ht="15" hidden="false" customHeight="true" outlineLevel="0" collapsed="false">
      <c r="A23" s="56" t="s">
        <v>197</v>
      </c>
      <c r="B23" s="57" t="s">
        <v>148</v>
      </c>
      <c r="C23" s="58" t="n">
        <v>0.92</v>
      </c>
      <c r="D23" s="56" t="s">
        <v>279</v>
      </c>
    </row>
    <row r="24" customFormat="false" ht="15" hidden="false" customHeight="true" outlineLevel="0" collapsed="false">
      <c r="A24" s="56" t="s">
        <v>197</v>
      </c>
      <c r="B24" s="57" t="s">
        <v>267</v>
      </c>
      <c r="C24" s="58" t="n">
        <v>13.6</v>
      </c>
      <c r="D24" s="56" t="s">
        <v>268</v>
      </c>
    </row>
    <row r="25" customFormat="false" ht="15" hidden="false" customHeight="true" outlineLevel="0" collapsed="false">
      <c r="A25" s="56" t="s">
        <v>201</v>
      </c>
      <c r="B25" s="57" t="s">
        <v>267</v>
      </c>
      <c r="C25" s="58" t="n">
        <v>9</v>
      </c>
      <c r="D25" s="56" t="s">
        <v>268</v>
      </c>
    </row>
    <row r="26" customFormat="false" ht="15" hidden="false" customHeight="true" outlineLevel="0" collapsed="false">
      <c r="A26" s="56" t="s">
        <v>205</v>
      </c>
      <c r="B26" s="57" t="s">
        <v>148</v>
      </c>
      <c r="C26" s="58" t="n">
        <v>1.1</v>
      </c>
      <c r="D26" s="56" t="s">
        <v>279</v>
      </c>
    </row>
    <row r="27" customFormat="false" ht="15" hidden="false" customHeight="true" outlineLevel="0" collapsed="false">
      <c r="A27" s="56" t="s">
        <v>205</v>
      </c>
      <c r="B27" s="57" t="s">
        <v>267</v>
      </c>
      <c r="C27" s="58" t="n">
        <v>16.5</v>
      </c>
      <c r="D27" s="56" t="s">
        <v>268</v>
      </c>
    </row>
    <row r="28" customFormat="false" ht="15" hidden="false" customHeight="true" outlineLevel="0" collapsed="false">
      <c r="A28" s="56" t="s">
        <v>209</v>
      </c>
      <c r="B28" s="57" t="s">
        <v>267</v>
      </c>
      <c r="C28" s="58" t="n">
        <v>12.5</v>
      </c>
      <c r="D28" s="56" t="s">
        <v>268</v>
      </c>
    </row>
    <row r="29" customFormat="false" ht="15" hidden="false" customHeight="true" outlineLevel="0" collapsed="false">
      <c r="A29" s="56" t="s">
        <v>213</v>
      </c>
      <c r="B29" s="57" t="s">
        <v>215</v>
      </c>
      <c r="C29" s="58" t="n">
        <v>28</v>
      </c>
      <c r="D29" s="56" t="s">
        <v>284</v>
      </c>
    </row>
    <row r="30" customFormat="false" ht="15" hidden="false" customHeight="true" outlineLevel="0" collapsed="false">
      <c r="A30" s="56" t="s">
        <v>218</v>
      </c>
      <c r="B30" s="57" t="s">
        <v>48</v>
      </c>
      <c r="C30" s="58" t="n">
        <v>150</v>
      </c>
      <c r="D30" s="56" t="s">
        <v>285</v>
      </c>
    </row>
    <row r="31" customFormat="false" ht="15" hidden="false" customHeight="true" outlineLevel="0" collapsed="false">
      <c r="A31" s="56" t="s">
        <v>226</v>
      </c>
      <c r="B31" s="57" t="s">
        <v>148</v>
      </c>
      <c r="C31" s="58" t="n">
        <v>0.9</v>
      </c>
      <c r="D31" s="56" t="s">
        <v>279</v>
      </c>
    </row>
    <row r="32" customFormat="false" ht="15" hidden="false" customHeight="true" outlineLevel="0" collapsed="false">
      <c r="A32" s="56" t="s">
        <v>226</v>
      </c>
      <c r="B32" s="57" t="s">
        <v>276</v>
      </c>
      <c r="C32" s="58" t="n">
        <v>4.4</v>
      </c>
      <c r="D32" s="56" t="s">
        <v>277</v>
      </c>
    </row>
    <row r="33" customFormat="false" ht="15" hidden="false" customHeight="true" outlineLevel="0" collapsed="false">
      <c r="A33" s="56" t="s">
        <v>230</v>
      </c>
      <c r="B33" s="57" t="s">
        <v>148</v>
      </c>
      <c r="C33" s="58" t="n">
        <v>0.92</v>
      </c>
      <c r="D33" s="56" t="s">
        <v>279</v>
      </c>
    </row>
    <row r="34" customFormat="false" ht="15" hidden="false" customHeight="true" outlineLevel="0" collapsed="false">
      <c r="A34" s="56" t="s">
        <v>230</v>
      </c>
      <c r="B34" s="57" t="s">
        <v>276</v>
      </c>
      <c r="C34" s="58" t="n">
        <v>4.6</v>
      </c>
      <c r="D34" s="56" t="s">
        <v>277</v>
      </c>
    </row>
    <row r="35" customFormat="false" ht="15" hidden="false" customHeight="true" outlineLevel="0" collapsed="false">
      <c r="A35" s="56" t="s">
        <v>234</v>
      </c>
      <c r="B35" s="57" t="s">
        <v>48</v>
      </c>
      <c r="C35" s="58" t="n">
        <v>150</v>
      </c>
      <c r="D35" s="56" t="s">
        <v>278</v>
      </c>
    </row>
    <row r="36" customFormat="false" ht="15" hidden="false" customHeight="true" outlineLevel="0" collapsed="false">
      <c r="A36" s="56" t="s">
        <v>240</v>
      </c>
      <c r="B36" s="57" t="s">
        <v>286</v>
      </c>
      <c r="C36" s="58" t="n">
        <v>172</v>
      </c>
      <c r="D36" s="56" t="s">
        <v>287</v>
      </c>
    </row>
    <row r="37" customFormat="false" ht="15" hidden="false" customHeight="true" outlineLevel="0" collapsed="false">
      <c r="A37" s="56" t="s">
        <v>240</v>
      </c>
      <c r="B37" s="57" t="s">
        <v>148</v>
      </c>
      <c r="C37" s="58" t="n">
        <v>0.72</v>
      </c>
      <c r="D37" s="56" t="s">
        <v>288</v>
      </c>
    </row>
    <row r="38" customFormat="false" ht="15" hidden="false" customHeight="true" outlineLevel="0" collapsed="false">
      <c r="A38" s="56" t="s">
        <v>251</v>
      </c>
      <c r="B38" s="57" t="s">
        <v>48</v>
      </c>
      <c r="C38" s="58" t="n">
        <v>150</v>
      </c>
      <c r="D38" s="56" t="s">
        <v>289</v>
      </c>
    </row>
    <row r="39" customFormat="false" ht="15" hidden="false" customHeight="true" outlineLevel="0" collapsed="false">
      <c r="A39" s="56" t="s">
        <v>256</v>
      </c>
      <c r="B39" s="57" t="s">
        <v>286</v>
      </c>
      <c r="C39" s="58" t="n">
        <v>259</v>
      </c>
      <c r="D39" s="56" t="s">
        <v>290</v>
      </c>
    </row>
    <row r="40" customFormat="false" ht="15" hidden="false" customHeight="true" outlineLevel="0" collapsed="false">
      <c r="A40" s="56" t="s">
        <v>256</v>
      </c>
      <c r="B40" s="57" t="s">
        <v>148</v>
      </c>
      <c r="C40" s="58" t="n">
        <v>1.08</v>
      </c>
      <c r="D40" s="56" t="s">
        <v>291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2026-10-04T21:43:16Z</dcterms:created>
  <dc:creator>openpyxl</dc:creator>
  <dc:description/>
  <dc:language>en-US</dc:language>
  <cp:lastModifiedBy/>
  <dcterms:modified xsi:type="dcterms:W3CDTF">2026-10-20T22:36:26Z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